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ssues" sheetId="2" state="visible" r:id="rId4"/>
    <sheet name="Journey steps" sheetId="3" state="visible" r:id="rId5"/>
  </sheets>
  <definedNames>
    <definedName function="false" hidden="true" localSheetId="1" name="_xlnm._FilterDatabase" vbProcedure="false">Issues!$A$1:$K$29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<sst xmlns="http://schemas.openxmlformats.org/spreadsheetml/2006/main" count="559" uniqueCount="400">
  <si>
    <t xml:space="preserve">Setu Health prototype — full walkthrough test</t>
  </si>
  <si>
    <t xml:space="preserve">Round 1 tested 30/09/2026; Round 2 (re-test of the Claude Design fixes) 01/10/2026 — same method: files published to the shared prototype link, served in Chromium at 1440 desktop, 1024 tablet frame and 390 px phone.</t>
  </si>
  <si>
    <t xml:space="preserve">Verdict</t>
  </si>
  <si>
    <t xml:space="preserve">Round 2: READY for health-sector testers. All 6 round-1 Blockers and all 9 Majors are fixed and re-verified; 39/39 journey steps pass. One new Blocker (#27, module content collapsed in the round-2 export) is already patched in the published prototype but must also be fixed in the Claude Design source before the next export. Remaining: 2 minors partly fixed (#17, #22) and 1 new cosmetic minor (#28).</t>
  </si>
  <si>
    <t xml:space="preserve">Issues by severity</t>
  </si>
  <si>
    <t xml:space="preserve">Severity</t>
  </si>
  <si>
    <t xml:space="preserve">Open</t>
  </si>
  <si>
    <t xml:space="preserve">Fixed (incl. partly)</t>
  </si>
  <si>
    <t xml:space="preserve">Total</t>
  </si>
  <si>
    <t xml:space="preserve">Blocker</t>
  </si>
  <si>
    <t xml:space="preserve">Major</t>
  </si>
  <si>
    <t xml:space="preserve">Minor</t>
  </si>
  <si>
    <t xml:space="preserve">Journey steps</t>
  </si>
  <si>
    <t xml:space="preserve">Result (round 2)</t>
  </si>
  <si>
    <t xml:space="preserve">Steps</t>
  </si>
  <si>
    <t xml:space="preserve">Pass</t>
  </si>
  <si>
    <t xml:space="preserve">Pass with issues</t>
  </si>
  <si>
    <t xml:space="preserve">Issue</t>
  </si>
  <si>
    <t xml:space="preserve">Blocked</t>
  </si>
  <si>
    <t xml:space="preserve">What works well</t>
  </si>
  <si>
    <t xml:space="preserve">• All 85 links on the index open; no script errors on any page.</t>
  </si>
  <si>
    <t xml:space="preserve">• Role permissions: wrong-role screens show a clear ‘no access’ page naming who can grant access; receptionist home shows no clinical data.</t>
  </si>
  <si>
    <t xml:space="preserve">• Plan locks: Clinic locks IPD, nursing, ER, IPD bill, packages and ward indents; Lite locks OT — each with a ‘not in your plan’ page.</t>
  </si>
  <si>
    <t xml:space="preserve">• Clinical safety: allergy conflict blocks signing; PIN signing locks the note; MAR needs band + medicine scans; Held/Refused need reasons; MEWS escalation needs a log; critical results need a call-back before validation.</t>
  </si>
  <si>
    <t xml:space="preserve">• Money control: discounts above limit need approval; rejections need reasons; bKash confirm/fail paths; reprints marked DUPLICATE with reason; Bangla amount in words; QR on receipts, prescriptions, reports and discharge summaries.</t>
  </si>
  <si>
    <t xml:space="preserve">• Patient app: minimal-disclosure claim, source badges, plain-language report marked ‘not a diagnosis’, share/revoke/who viewed.</t>
  </si>
  <si>
    <t xml:space="preserve">• Connected care: portable order → partial acceptance → payment → collection → release → acknowledgement works end to end in one session.</t>
  </si>
  <si>
    <t xml:space="preserve">Corrections to my earlier review</t>
  </si>
  <si>
    <t xml:space="preserve">• ‘Lite and Pro show the same modules’ was wrong: OT screens are locked on Lite (the nav lists them with a lock and opens a ‘not in your plan’ page).</t>
  </si>
  <si>
    <t xml:space="preserve">• ‘Clinic plan still shows IPD items’ is by design: they are listed with a lock and open a ‘not in your plan’ page, as the index describes.</t>
  </si>
  <si>
    <t xml:space="preserve">• ‘Journey D step 6 shows the same screen’ is by design: the tester is meant to tap the ‘চলমান · Active’ tab and stop sharing there.</t>
  </si>
  <si>
    <t xml:space="preserve">Notes for testers (until fixed)</t>
  </si>
  <si>
    <t xml:space="preserve">• Use a laptop for the Staff App and Journeys; use a phone for the Doctor App, Patient App and Owner Dashboard.</t>
  </si>
  <si>
    <t xml:space="preserve">• Everything is sample data. Nothing is saved, sent or charged. Claim code for the patient app is 7K4Q2M; signing PIN is 1234.</t>
  </si>
  <si>
    <t xml:space="preserve">• The Journeys ‘English’ switch translates the guide and most screens; a few labels stay bilingual.</t>
  </si>
  <si>
    <t xml:space="preserve">How to use: the Status column on the Issues tab holds the round-2 result (Open / Fixed / Partly fixed / Fixed in prototype / Won't fix); the counts above update automatically. Column K has the round-2 note.</t>
  </si>
  <si>
    <t xml:space="preserve">#</t>
  </si>
  <si>
    <t xml:space="preserve">Area</t>
  </si>
  <si>
    <t xml:space="preserve">Where (page / step)</t>
  </si>
  <si>
    <t xml:space="preserve">What happens (round 1)</t>
  </si>
  <si>
    <t xml:space="preserve">Expected</t>
  </si>
  <si>
    <t xml:space="preserve">How to reproduce</t>
  </si>
  <si>
    <t xml:space="preserve">Evidence screenshot</t>
  </si>
  <si>
    <t xml:space="preserve">Fix prompt for Claude Design</t>
  </si>
  <si>
    <t xml:space="preserve">Status</t>
  </si>
  <si>
    <t xml:space="preserve">Round 2 result (01/10/2026)</t>
  </si>
  <si>
    <t xml:space="preserve">Staff App shell · patient banner</t>
  </si>
  <si>
    <t xml:space="preserve">IPD bill, IPD transfer, discharge checklist, discharge summary, Nursing vitals, MAR, I/O, ER orders, OT pre-op, OT intra-op (10 screens) · Journey B5, B6, B8, B9, B10, B11</t>
  </si>
  <si>
    <t xml:space="preserve">The patient banner at the top always shows Rahima Khatun (42F, allergies Penicillin + Sulfa) even when the screen is about a different patient. Example: Nursing vitals is for Shahidul Islam (57M, allergy Sulfa) and the IPD bill is for Nasrin Sultana (‘no known allergy’), but the banner above says Rahima Khatun with Penicillin and Sulfa. Two contradictory patients and allergy lists appear on one screen.</t>
  </si>
  <si>
    <t xml:space="preserve">The banner shows the same patient the screen is about, or no banner on screens that are not about one patient.</t>
  </si>
  <si>
    <t xml:space="preserve">Staff App → role Nurse → Nursing › Vitals &amp; MEWS. Compare the top banner with the patient card below it.</t>
  </si>
  <si>
    <t xml:space="preserve">B6_ack.png, B10_final.png</t>
  </si>
  <si>
    <t xml:space="preserve">In Setu Staff App, the compact patient banner must take its patient from the mounted module screen. Pass the active patient (name, age/sex, ID, allergies, identity badge) from each module (IPD, Nursing, ER &amp; OT, IPD bill) to the shell. Hide the banner on list/worklist screens that are not about one patient. Never show Rahima Khatun’s data on another patient’s screen.</t>
  </si>
  <si>
    <t xml:space="preserve">Fixed</t>
  </si>
  <si>
    <t xml:space="preserve">Banner now follows the mounted screen’s patient (Shahidul on vitals/MAR, Nasrin on IPD bill/discharge, Unknown male on ER orders); hidden on bed map and owner dashboard.</t>
  </si>
  <si>
    <t xml:space="preserve">Journey A · A11 Report delivery</t>
  </si>
  <si>
    <t xml:space="preserve">Setu Journeys A11; Staff App Lab › Delivery; Setu Lab › Delivery</t>
  </si>
  <si>
    <t xml:space="preserve">All ‘Send’ buttons are disabled and the banner says ‘A report can be sent only after it is validated and released’, while the event log below says ‘Report LR-2Q9W-6HBN released’. The tester cannot do what the step asks (send SMS, patient app, doctor inbox). Delivery only works if you validate and release in the same Lab page session first.</t>
  </si>
  <si>
    <t xml:space="preserve">A11 opens with the report already validated and released, so the tester can press Send and see each channel’s status (and a failed one to retry).</t>
  </si>
  <si>
    <t xml:space="preserve">Journeys → A → step 11. Try any Send button.</t>
  </si>
  <si>
    <t xml:space="preserve">A11_delivery.png</t>
  </si>
  <si>
    <t xml:space="preserve">In Setu Lab, let the Delivery screen accept a ‘released’ starting state (e.g. prop reportState='released') and use it when mounted from Setu Journeys A11 and from the Staff App deep link. Make the banner and the event log agree.</t>
  </si>
  <si>
    <t xml:space="preserve">A11 opens released; ‘Send to all’ sends SMS / patient app / doctor inbox with per-channel status and a failed SMS that retries.</t>
  </si>
  <si>
    <t xml:space="preserve">Patient app · claim records (Journey D2)</t>
  </si>
  <si>
    <t xml:space="preserve">Setu Journeys D2; Patient app › Claim</t>
  </si>
  <si>
    <t xml:space="preserve">Any 6-character code links the records. ‘ZZ9999’ and ‘AAAAAA’ both give ‘Linked · 3 visits, 4 reports added’. The screen itself says 3 wrong tries lock the claim for 24 h, so a tester who types a wrong code sees the security story break.</t>
  </si>
  <si>
    <t xml:space="preserve">Only 7K4Q2M succeeds. A wrong code shows ‘Code does not match — 2 tries left’, and after 3 wrong tries the lock message appears.</t>
  </si>
  <si>
    <t xml:space="preserve">Journeys → D → step 2 → ‘এটা আমার’ → type ZZ9999 → ‘যাচাই করুন’.</t>
  </si>
  <si>
    <t xml:space="preserve">D2_verify_ZZ9999.png</t>
  </si>
  <si>
    <t xml:space="preserve">In Setu Patient App › Claim, verify the receipt code: only '7K4Q2M' links records. Any other 6 characters shows an error with attempts left (3 → 2 → 1) and then the 24-hour lock state. Keep the minimal-disclosure hints unchanged.</t>
  </si>
  <si>
    <t xml:space="preserve">Only 7K4Q2M links; wrong codes show 2 → 1 tries left, then the 24-hour lock.</t>
  </si>
  <si>
    <t xml:space="preserve">Front desk · duplicate review (Journey A2)</t>
  </si>
  <si>
    <t xml:space="preserve">Setu Journeys A2; Front Desk › Match review</t>
  </si>
  <si>
    <t xml:space="preserve">Candidate 2 (Rahima Begum) has three conflicting fields (English name, date of birth, guardian) and the card says ‘Several fields conflict’, yet one click on ‘Same person — link’ links the records with a green ‘Linked’ message. Only Undo is offered. The journey text says ‘don’t merge when fields conflict’.</t>
  </si>
  <si>
    <t xml:space="preserve">Linking a candidate with conflicts is blocked or needs a reason and a second confirmation (and ideally goes to the records-officer review queue).</t>
  </si>
  <si>
    <t xml:space="preserve">Journeys → A → step 2 → second candidate → ‘Same person — link’.</t>
  </si>
  <si>
    <t xml:space="preserve">A2_link_c2.png</t>
  </si>
  <si>
    <t xml:space="preserve">In Setu Front Desk › Match review, when a candidate has any ‘Different’ field, change its button to ‘Send for review’ or require a typed reason plus a confirm dialog (‘You are linking records with 3 conflicting fields’). Keep one-click link only for candidates with no conflicts.</t>
  </si>
  <si>
    <t xml:space="preserve">Conflicting candidate offers ‘Send for review’ or ‘Link anyway’ with a ≥10-character reason and a confirm dialog naming the 3 conflicts.</t>
  </si>
  <si>
    <t xml:space="preserve">Front desk · registration (Journey A3)</t>
  </si>
  <si>
    <t xml:space="preserve">Setu Journeys A3; Front Desk › Register</t>
  </si>
  <si>
    <t xml:space="preserve">Pressing ‘Clear’ and then ‘Save &amp; create visit’ with every required field empty saves and opens the queue with a new token — for a different patient (A-022, Md. Jashim Uddin). A correctly filled form also lands on Md. Jashim Uddin instead of the patient just registered.</t>
  </si>
  <si>
    <t xml:space="preserve">Save is blocked until required fields (name, sex, DOB/age, mobile, district/upazila) are valid, with inline messages. After saving, the queue highlights the patient who was just registered.</t>
  </si>
  <si>
    <t xml:space="preserve">Journeys → A → step 3 → ‘মুছুন · Clear’ → ‘সংরক্ষণ ও টোকেন’.</t>
  </si>
  <si>
    <t xml:space="preserve">A3_empty_save_3s.png</t>
  </si>
  <si>
    <t xml:space="preserve">In Setu Front Desk › Register, validate required fields before Save &amp; create visit (show each error under its field and a summary ‘3 fields need attention’). After a successful save, open the queue with the new token for the patient just entered (Rahima Khatun, GLC-240117).</t>
  </si>
  <si>
    <t xml:space="preserve">Empty save is blocked with ‘৭টি ঘর ঠিক করুন’ and per-field errors; a filled save opens the queue on the new token.</t>
  </si>
  <si>
    <t xml:space="preserve">Offline behaviour (Staff App)</t>
  </si>
  <si>
    <t xml:space="preserve">Staff App with Network = Offline: Consultation, Billing › Payment, Nursing › Vitals, Front Desk › Register</t>
  </si>
  <si>
    <t xml:space="preserve">The offline banner appears, but the modules ignore it. A doctor can sign and sees ‘Signed &amp; locked · server confirmed’; a bKash link shows ‘Link sent’; nursing obs show ‘Saved’. The banner itself promises nothing will show Sent or Signed until the server returns. (The Doctor App and the Consultation page’s own ‘offline’ state behave correctly.)</t>
  </si>
  <si>
    <t xml:space="preserve">Offline: signing is disabled (‘Sign when back online’), payment links queue as ‘Will send when online’, saves show ‘Saved on this device · not synced’.</t>
  </si>
  <si>
    <t xml:space="preserve">Staff App → Network: Offline → Doctor → Consultation → Sign &amp; complete → PIN 1234 → Sign.</t>
  </si>
  <si>
    <t xml:space="preserve">s7_offline_sign.png, s7_offline_pay.png</t>
  </si>
  <si>
    <t xml:space="preserve">In Setu Staff App, pass the Network (online/offline) switch into every mounted module. Reuse the Consultation page’s existing ‘offline’ state; in Billing, Nursing and Front Desk show queued/‘not synced’ states and disable Sign, Send payment link and Release while offline.</t>
  </si>
  <si>
    <t xml:space="preserve">Offline: Sign disabled (‘Sign when back online’), bKash link queued ‘Will send when online’, obs and registration ‘Saved on this device · not synced’, Release disabled.</t>
  </si>
  <si>
    <t xml:space="preserve">Nursing · vitals inputs (Journey B6)</t>
  </si>
  <si>
    <t xml:space="preserve">Nursing › Vitals &amp; MEWS (tablet)</t>
  </si>
  <si>
    <t xml:space="preserve">The vital-sign boxes are 52 px wide, so three-digit values are cut off: pulse 124 shows as ‘12’, temperature 102 as ‘10’ (systolic 100+ also). The MEWS score uses the real value, so the screen looks wrong.</t>
  </si>
  <si>
    <t xml:space="preserve">Every vital shows its full value.</t>
  </si>
  <si>
    <t xml:space="preserve">Journeys → B → step 6 → type pulse 124, temp 102.</t>
  </si>
  <si>
    <t xml:space="preserve">B6_ack.png</t>
  </si>
  <si>
    <t xml:space="preserve">In Setu Nursing › Vitals quick entry, widen each value box to fit 3 digits plus decimal (min 72 px) at tablet 1024 and desktop, or shrink the +/− buttons.</t>
  </si>
  <si>
    <t xml:space="preserve">Value boxes are 100 px; 124 / 102.4 / 108 show in full.</t>
  </si>
  <si>
    <t xml:space="preserve">Doctor App · quick consult</t>
  </si>
  <si>
    <t xml:space="preserve">Setu Doctor App › Consult</t>
  </si>
  <si>
    <t xml:space="preserve">No allergy is shown anywhere on the quick consult screen, although the patient (Rahima Khatun) is allergic to Penicillin and Sulfa. Signing is one tap (‘Sign &amp; send’), without the PIN the web app requires.</t>
  </si>
  <si>
    <t xml:space="preserve">An allergy strip is always visible above the prescription; signing asks for the same PIN confirmation as the web app.</t>
  </si>
  <si>
    <t xml:space="preserve">Doctor App → Consult.</t>
  </si>
  <si>
    <t xml:space="preserve">s8_Consult.png</t>
  </si>
  <si>
    <t xml:space="preserve">In Setu Doctor App › Consult, add the red allergy strip (Penicillin, Sulfa) under the patient name, run the same allergy check when a medicine is added, and use a PIN sign sheet before ‘Sign &amp; send’.</t>
  </si>
  <si>
    <t xml:space="preserve">Red allergy strip (Penicillin, Sulfa) under the name; Sign &amp; send now asks for the PIN; page fits 390 px.</t>
  </si>
  <si>
    <t xml:space="preserve">Consultation · ‘/’ shortcut (Journey A5)</t>
  </si>
  <si>
    <t xml:space="preserve">Staff App and Journeys › OPD consultation</t>
  </si>
  <si>
    <t xml:space="preserve">The journey says ‘Press / to add medicines’, but inside the Staff App the ‘/’ key opens the global patient search instead. On the standalone Consultation page it works.</t>
  </si>
  <si>
    <t xml:space="preserve">‘/’ focuses the prescription search while a consultation is open (the global search keeps Ctrl+K or F2).</t>
  </si>
  <si>
    <t xml:space="preserve">Journeys → A → step 5 → click in the note → press /.</t>
  </si>
  <si>
    <t xml:space="preserve">A5_sign_modal.png</t>
  </si>
  <si>
    <t xml:space="preserve">In Setu Staff App, don’t bind ‘/’ to global search while the Consultation module is active (or let the module’s handler win). Keep Ctrl+K for the command palette and F2 for search.</t>
  </si>
  <si>
    <t xml:space="preserve">‘/’ focuses the prescription search inside the Staff App; F2 still opens global search.</t>
  </si>
  <si>
    <t xml:space="preserve">Billing · partial payment receipt (Journey A7)</t>
  </si>
  <si>
    <t xml:space="preserve">Billing › Payment → Receipt</t>
  </si>
  <si>
    <t xml:space="preserve">Record cash ৳2,415 as partial while the bKash link is still pending: the receipt says ‘Paid by bKash ৳2,000 · TrxID 9KD72HX1QA + Cash ৳415’. The bKash money was never confirmed and the cash amount is wrong (Paid/Due totals are right).</t>
  </si>
  <si>
    <t xml:space="preserve">The payment-method line lists only confirmed money: ‘Cash ৳2,415 · bKash ৳2,000 pending’.</t>
  </si>
  <si>
    <t xml:space="preserve">Journeys → A → step 7 → Send payment link → tap ৳2,415 → Record as partial.</t>
  </si>
  <si>
    <t xml:space="preserve">A7_partial_receipt.png</t>
  </si>
  <si>
    <t xml:space="preserve">In Setu Billing › Receipt, build the ‘Paid by’ line from the confirmed payments only; show pending wallet amounts as ‘pending’ and never on the paid line.</t>
  </si>
  <si>
    <t xml:space="preserve">Partial receipt: ‘Cash ৳2,415 · bKash ৳2,000 pending’; full receipt lists bKash with TrxID.</t>
  </si>
  <si>
    <t xml:space="preserve">Patient app · language</t>
  </si>
  <si>
    <t xml:space="preserve">Patient app onboarding and EN toggle; Journeys D1</t>
  </si>
  <si>
    <t xml:space="preserve">Choosing ‘English’ at onboarding keeps every screen in Bangla. The EN button only changes the patient’s name to English; headings, buttons and explanations stay Bangla.</t>
  </si>
  <si>
    <t xml:space="preserve">English choice switches the whole app to English (Bangla stays the default).</t>
  </si>
  <si>
    <t xml:space="preserve">Patient App → Onboarding → English; or any screen → EN.</t>
  </si>
  <si>
    <t xml:space="preserve">D1_after_lang.png, pt_en_Home.png</t>
  </si>
  <si>
    <t xml:space="preserve">In Setu Patient App, add English strings for every screen and switch all copy when the user picks English or taps EN (keep Bangla as default).</t>
  </si>
  <si>
    <t xml:space="preserve">‘Language · ভাষা’ → English switches headings, buttons and explanations on every screen (patient-app-en.js).</t>
  </si>
  <si>
    <t xml:space="preserve">Journeys · continuity between steps</t>
  </si>
  <si>
    <t xml:space="preserve">Setu Journeys A, B, E</t>
  </si>
  <si>
    <t xml:space="preserve">Each step opens its screen fresh, so the story breaks: A5 asks for CBC + RBS but the A6 bill has no RBS; A3 saves and the queue shows Md. Jashim Uddin; B2 admits an unknown ER male to HDU-3, but B3 admits Farzana Akter (gynae) and HDU-3 is still vacant in B4; B10 asks to settle the final bill but it is blocked by pending pharmacy returns; E2 and E3 start from the blank E1 state.</t>
  </si>
  <si>
    <t xml:space="preserve">Each step opens in the state the previous step produced, with the same patient throughout a journey.</t>
  </si>
  <si>
    <t xml:space="preserve">Walk Journeys A, B and E in order.</t>
  </si>
  <si>
    <t xml:space="preserve">B10_final.png</t>
  </si>
  <si>
    <t xml:space="preserve">In Setu Journeys, give each step’s mounted screen a starting state that continues the story: same patient per journey (A: Rahima Khatun; B: one admitted patient from ER to bed release), bill lines matching the doctor’s orders, B10 with pharmacy returns done, E2/E3 pre-advanced to ‘accepted’ and ‘collected’.</t>
  </si>
  <si>
    <t xml:space="preserve">Farzana Akter throughout Journey B (B2 → B12), RBS + S. Electrolytes on the A6 bill, B10 Final bill enabled, E2/E3 start pre-advanced.</t>
  </si>
  <si>
    <t xml:space="preserve">Index · sitemap links</t>
  </si>
  <si>
    <t xml:space="preserve">Setu Health index › Sitemap rows 66, 68–85</t>
  </si>
  <si>
    <t xml:space="preserve">19 sitemap links for Doctor App screens, Patient App screens and the TV token display open the app’s home (or Front Desk search) instead of the named screen, because those pages don’t read URL parameters.</t>
  </si>
  <si>
    <t xml:space="preserve">Each sitemap row opens the exact screen it names.</t>
  </si>
  <si>
    <t xml:space="preserve">Index → Sitemap → ‘Results inbox’.</t>
  </si>
  <si>
    <t xml:space="preserve">Let Setu Doctor App, Setu Patient App and Setu Front Desk read ?screen= from the URL (as Setu Staff App does), and update the sitemap links to include it.</t>
  </si>
  <si>
    <t xml:space="preserve">Doctor App, Patient App and Front Desk read ?screen=; all 115 index links open the named screen.</t>
  </si>
  <si>
    <t xml:space="preserve">Phone testers</t>
  </si>
  <si>
    <t xml:space="preserve">Doctor App page; Journeys page; Staff App</t>
  </si>
  <si>
    <t xml:space="preserve">On a real 390 px phone the Doctor App page scrolls sideways (501 px wide) and the Journeys page too (573 px). The Staff App shrinks to an unreadable desktop view (expected — it is a desktop app).</t>
  </si>
  <si>
    <t xml:space="preserve">Phone pages fit 360–412 px without sideways scroll; testers know to use a laptop for staff screens.</t>
  </si>
  <si>
    <t xml:space="preserve">Open the pages on a phone.</t>
  </si>
  <si>
    <t xml:space="preserve">In Setu Doctor App, make the page fit 360–412 px on a real phone (hide the review bar or let it wrap; remove fixed widths). In Setu Journeys, stack the step list under the frame below 600 px.</t>
  </si>
  <si>
    <t xml:space="preserve">Doctor App, Journeys, Patient App and Owner Dashboard all 390 px wide on a phone, no sideways scroll.</t>
  </si>
  <si>
    <t xml:space="preserve">Consultation inside Journeys</t>
  </si>
  <si>
    <t xml:space="preserve">Setu Journeys A5 (Rx builder)</t>
  </si>
  <si>
    <t xml:space="preserve">Inside the Journeys frame the prescription column is narrow and medicine names are cut to ‘Tab. Ci…’, ‘Cap. S…’, ‘Tab. Na…’. At full width in the Staff App they show fully.</t>
  </si>
  <si>
    <t xml:space="preserve">Medicine names are always readable.</t>
  </si>
  <si>
    <t xml:space="preserve">Journeys → A → step 5 → prescription list.</t>
  </si>
  <si>
    <t xml:space="preserve">In Setu Consultation, let the Rx row wrap the brand + strength onto two lines instead of truncating when the column is narrower than 520 px.</t>
  </si>
  <si>
    <t xml:space="preserve">Rx brand + strength wrap onto two lines inside the Journeys frame.</t>
  </si>
  <si>
    <t xml:space="preserve">Sample data · prescription</t>
  </si>
  <si>
    <t xml:space="preserve">OPD consultation draft</t>
  </si>
  <si>
    <t xml:space="preserve">The sample draft has Napa 500 mg twice (both 1+1+1 × 3 days) and no duplicate-medicine warning appears; the sign dialog lists both.</t>
  </si>
  <si>
    <t xml:space="preserve">No duplicate lines in sample data; adding the same medicine twice shows a warning.</t>
  </si>
  <si>
    <t xml:space="preserve">Consultation draft → sign dialog.</t>
  </si>
  <si>
    <t xml:space="preserve">A5_sign_modal2.png</t>
  </si>
  <si>
    <t xml:space="preserve">In Setu Consultation, remove the duplicate Napa line from the draft and add a ‘Same medicine already prescribed’ warning.</t>
  </si>
  <si>
    <t xml:space="preserve">Duplicate Napa removed from the draft; adding Napa again shows ‘Same medicine already prescribed’.</t>
  </si>
  <si>
    <t xml:space="preserve">Journeys · English toggle</t>
  </si>
  <si>
    <t xml:space="preserve">Setu Journeys header</t>
  </si>
  <si>
    <t xml:space="preserve">‘English’ only switches the guide text; the embedded app stays Bangla-first until the tester also presses the app’s own EN button.</t>
  </si>
  <si>
    <t xml:space="preserve">One toggle switches both, or a hint explains the two toggles.</t>
  </si>
  <si>
    <t xml:space="preserve">Journeys → English.</t>
  </si>
  <si>
    <t xml:space="preserve">In Setu Journeys, pass the chosen language into every embedded screen (lang prop).</t>
  </si>
  <si>
    <t xml:space="preserve">Partly fixed</t>
  </si>
  <si>
    <t xml:space="preserve">Journeys ‘English’ now switches the guide and most embedded copy; some embedded labels stay bilingual (Bangla · English). Acceptable for testers.</t>
  </si>
  <si>
    <t xml:space="preserve">Front desk · numerals toggle</t>
  </si>
  <si>
    <t xml:space="preserve">Staff App › Front desk</t>
  </si>
  <si>
    <t xml:space="preserve">The ০১২৩ / 0123 toggle in the Front Desk header sits under the Staff App top bar and cannot be clicked.</t>
  </si>
  <si>
    <t xml:space="preserve">The toggle is reachable (or lives in the shell top bar).</t>
  </si>
  <si>
    <t xml:space="preserve">Staff App → Receptionist → Find patient.</t>
  </si>
  <si>
    <t xml:space="preserve">Move the numerals toggle into the Staff App top bar next to বাং/EN and remove the duplicate module header in bare mode.</t>
  </si>
  <si>
    <t xml:space="preserve">Numerals toggle (০১২৩ / 0123) lives in the Staff App top bar and is clickable.</t>
  </si>
  <si>
    <t xml:space="preserve">Guide text vs behaviour</t>
  </si>
  <si>
    <t xml:space="preserve">Journeys A13</t>
  </si>
  <si>
    <t xml:space="preserve">A13 says ‘A draft would print watermarked’, but the app blocks printing drafts (‘Drafts can’t be printed or sent’).</t>
  </si>
  <si>
    <t xml:space="preserve">Guide and app agree.</t>
  </si>
  <si>
    <t xml:space="preserve">Consultation draft → Print preview.</t>
  </si>
  <si>
    <t xml:space="preserve">In Setu Journeys A13, change the hint to ‘Drafts cannot be printed — sign first’.</t>
  </si>
  <si>
    <t xml:space="preserve">A13 hint now says drafts cannot be printed — sign first.</t>
  </si>
  <si>
    <t xml:space="preserve">Plan tiers vs index</t>
  </si>
  <si>
    <t xml:space="preserve">Staff App plan switcher; index Plan tiers</t>
  </si>
  <si>
    <t xml:space="preserve">Share ledger is open on Clinic and Lite, but the index lists ‘Accounts, share ledger’ under Pro. The index lists ‘Radiology / PACS link’ for Pro, but there is no radiology screen. Lite’s nav footer says ‘all modules on’ while OT is locked.</t>
  </si>
  <si>
    <t xml:space="preserve">Plan locks match the index, and Pro’s radiology item exists or is removed from the index.</t>
  </si>
  <si>
    <t xml:space="preserve">Staff App → Admin → Clinic → Billing › Share ledger.</t>
  </si>
  <si>
    <t xml:space="preserve">Either lock Share ledger below Pro or move it to Clinic in the index; add a Radiology (RIS/PACS link) screen or remove it from the Pro list; change Lite footer to ‘OT needs Hospital Pro’.</t>
  </si>
  <si>
    <t xml:space="preserve">Share ledger locked below Pro; Lite footer says ‘OT ও রেডিওলজি Hospital Pro-তে’; index lists ‘Radiology / PACS link (coming in v2)’.</t>
  </si>
  <si>
    <t xml:space="preserve">Visual clipping and overlap</t>
  </si>
  <si>
    <t xml:space="preserve">Several screens</t>
  </si>
  <si>
    <t xml:space="preserve">Clipped or overlapping text: ‘Same person — lin’ (A2), Flags column ‘Possible dup…’ (A1 in Journeys), sex option ‘Othe’ (A3), ER triage header ‘Complaintঅপেক্ষা’ overlap (B1), IPD bill header columns overlap (B10), queue tokens wrap ‘A-/019’ (A3), ‘জরুরি · Urgent’ badge overlaps tests (A8).</t>
  </si>
  <si>
    <t xml:space="preserve">No clipped or overlapping text at 1440 and inside Journeys.</t>
  </si>
  <si>
    <t xml:space="preserve">See screenshots.</t>
  </si>
  <si>
    <t xml:space="preserve">A1_results.png, B1_triaged.png, B10_final.png</t>
  </si>
  <si>
    <t xml:space="preserve">Fix column widths/min-widths so labels wrap instead of clipping in Front Desk (search flags, match buttons, sex options, queue cards), ER triage header, IPD bill header and Lab collection badges.</t>
  </si>
  <si>
    <t xml:space="preserve">No clipped labels found at 1440 (search flags, match buttons, sex options, queue tokens, ER header, IPD bill header). One new minor: Lab ‘Partially collected’ badge (#28).</t>
  </si>
  <si>
    <t xml:space="preserve">Digits and formats</t>
  </si>
  <si>
    <t xml:space="preserve">Receptionist home, Owner KPIs, registration approx. age</t>
  </si>
  <si>
    <t xml:space="preserve">Some amounts use English digits in Bangla mode (hardcoded ‘৳ 12,350’), and approximate-age inputs show ‘42’/‘0’ in English digits.</t>
  </si>
  <si>
    <t xml:space="preserve">Digits follow the numerals setting everywhere.</t>
  </si>
  <si>
    <t xml:space="preserve">Staff App → Receptionist home.</t>
  </si>
  <si>
    <t xml:space="preserve">Format every amount and number through SetuFormat (taka/digits) instead of hardcoded strings.</t>
  </si>
  <si>
    <t xml:space="preserve">Receptionist home and registration follow the numerals setting; the Owner dashboard still shows English digits either way.</t>
  </si>
  <si>
    <t xml:space="preserve">Owner dashboard realism</t>
  </si>
  <si>
    <t xml:space="preserve">Owner dashboard (desktop + mobile)</t>
  </si>
  <si>
    <t xml:space="preserve">Every tile shows the same change (−7% or +4%) and the revenue chart has no axis values, which reads as placeholder data to owners.</t>
  </si>
  <si>
    <t xml:space="preserve">Varied, plausible period changes; labelled axes.</t>
  </si>
  <si>
    <t xml:space="preserve">Journeys → C1.</t>
  </si>
  <si>
    <t xml:space="preserve">C1_dash.png</t>
  </si>
  <si>
    <t xml:space="preserve">In Setu Owner Dashboard, vary the comparison percentages per KPI and add y-axis values and dates to the revenue chart.</t>
  </si>
  <si>
    <t xml:space="preserve">KPI changes vary per tile (−3%, −5%, +12%, +4%, +18%, −2% …); revenue chart has lakh axis values and dates.</t>
  </si>
  <si>
    <t xml:space="preserve">Clinical workflow details</t>
  </si>
  <si>
    <t xml:space="preserve">Owner cash variance; MEWS escalation; triage</t>
  </si>
  <si>
    <t xml:space="preserve">Accepting a −৳500 cash variance needs no note. After a MEWS 7 escalation with ‘repeat obs every 15 min’, the screen schedules the next obs in 1 hour. ER triage count shows Level 1 = 0 while B2 calls the unknown male Level 1; an adult trauma patient can be assigned to a paediatrician without a prompt.</t>
  </si>
  <si>
    <t xml:space="preserve">Consistent clinical logic.</t>
  </si>
  <si>
    <t xml:space="preserve">Journeys C4, B6, B1.</t>
  </si>
  <si>
    <t xml:space="preserve">Require a short note to accept a cash variance; after MEWS ≥5 set next obs to 15 minutes; align the ER level counts with B2.</t>
  </si>
  <si>
    <t xml:space="preserve">Cash variance needs a note; MEWS ≥5 sets next obs to 15 min.</t>
  </si>
  <si>
    <t xml:space="preserve">Sample names</t>
  </si>
  <si>
    <t xml:space="preserve">Admin › onboarding sample data</t>
  </si>
  <si>
    <t xml:space="preserve">‘Popular Chamber, Mirpur 10’ is close to a real diagnostic chain’s name; guardians differ for the same phone (Rashed Chowdhury in B3, Md. Salam in B8).</t>
  </si>
  <si>
    <t xml:space="preserve">Clearly fictional, consistent sample data.</t>
  </si>
  <si>
    <t xml:space="preserve">Admin wizard.</t>
  </si>
  <si>
    <t xml:space="preserve">Rename ‘Popular Chamber’ to a fictional name and use one guardian name for +880 1711-908812.</t>
  </si>
  <si>
    <t xml:space="preserve">‘Popular Chamber’ renamed; one guardian per phone.</t>
  </si>
  <si>
    <t xml:space="preserve">Default module screens by role</t>
  </si>
  <si>
    <t xml:space="preserve">Staff App deep links without &amp;screen=</t>
  </si>
  <si>
    <t xml:space="preserve">Opening a module without a screen lands on its first screen even if the role can’t use it (e.g. Pathologist → Lab opens Intake → ‘no access’; Owner → IPD; Doctor → Lab).</t>
  </si>
  <si>
    <t xml:space="preserve">Each role lands on the first screen it is allowed to see.</t>
  </si>
  <si>
    <t xml:space="preserve">Staff App ?role=pathologist&amp;mod=lab</t>
  </si>
  <si>
    <t xml:space="preserve">In Setu Staff App, pick each module’s default screen from the role’s allowed screens.</t>
  </si>
  <si>
    <t xml:space="preserve">Pathologist → Lab opens Verification; Nurse → IPD bed map; Doctor → IPD round; Owner → IPD occupancy / Lab dashboard.</t>
  </si>
  <si>
    <t xml:space="preserve">Round 2 regression · Staff App module content collapsed</t>
  </si>
  <si>
    <t xml:space="preserve">Staff App: Admin, Billing, Consultation, ER &amp; OT, Front Desk, IPD, Lab, Nursing, Owner dashboard, Pharmacy (48 of 68 screens)</t>
  </si>
  <si>
    <t xml:space="preserve">In the round-2 export, every module hides its own header in bare mode with display:none, but the module grid still uses ‘{{ hdrH }} minmax(0,1fr)’ rows, so the &lt;main&gt; area lands in the 0 px row and the whole screen shows as an empty strip (only the shell nav is visible). 48 of the 68 Staff App deep links were blank. Journeys was not affected (embedded mode).</t>
  </si>
  <si>
    <t xml:space="preserve">Module content fills the shell in bare mode.</t>
  </si>
  <si>
    <t xml:space="preserve">Staff App → Receptionist → Find patient (before the patch).</t>
  </si>
  <si>
    <t xml:space="preserve">R2_regression_before.png, R2_regression_after.png</t>
  </si>
  <si>
    <t xml:space="preserve">In every module page (Admin, Billing, Consultation, ER and OT, Front Desk, IPD, Lab, Nursing, Owner Dashboard, Pharmacy) change the bare-mode header rule from  __o.hdrD = __b ? 'none' : 'flex'  to  __o.hdrD = 'flex'  (the header already has height 0 and overflow hidden in bare mode), or change the bare grid rows to minmax(0,1fr) only. The published prototype already contains this one-line patch; the Claude Design source still needs it so the next export does not regress.</t>
  </si>
  <si>
    <t xml:space="preserve">Fixed in prototype</t>
  </si>
  <si>
    <t xml:space="preserve">Patched in the published files (all 10 module pages); still open in the Claude Design source — apply the one-line fix there.</t>
  </si>
  <si>
    <t xml:space="preserve">Lab · collection status badge</t>
  </si>
  <si>
    <t xml:space="preserve">Staff App → Lab technologist → Sample collection</t>
  </si>
  <si>
    <t xml:space="preserve">The ‘আংশিক · Partially collected’ badge is wider than the Status column and runs past the table edge on row S-2609-0453.</t>
  </si>
  <si>
    <t xml:space="preserve">Badge fits inside its column (wrap or shorten to ‘Partial’).</t>
  </si>
  <si>
    <t xml:space="preserve">Staff App ?role=labTech&amp;mod=lab&amp;screen=collect</t>
  </si>
  <si>
    <t xml:space="preserve">R2_lab_collect.png</t>
  </si>
  <si>
    <t xml:space="preserve">In Setu Lab › Sample collection, let the status badge wrap or use the short label ‘আংশিক · Partial’ so it stays inside the Status column at 1440.</t>
  </si>
  <si>
    <t xml:space="preserve">Cosmetic; found in round 2.</t>
  </si>
  <si>
    <t xml:space="preserve">Step</t>
  </si>
  <si>
    <t xml:space="preserve">Role</t>
  </si>
  <si>
    <t xml:space="preserve">What I did</t>
  </si>
  <si>
    <t xml:space="preserve">Result (round 1)</t>
  </si>
  <si>
    <t xml:space="preserve">Notes (round 1 → round 2)</t>
  </si>
  <si>
    <t xml:space="preserve">A1</t>
  </si>
  <si>
    <t xml:space="preserve">Receptionist</t>
  </si>
  <si>
    <t xml:space="preserve">Search by phone, Bangla and English names, no-match</t>
  </si>
  <si>
    <t xml:space="preserve">5 family members found with shared-phone warning; duplicate flagged; no-match state good. Flags column clipped in Journeys frame.</t>
  </si>
  <si>
    <t xml:space="preserve">A2</t>
  </si>
  <si>
    <t xml:space="preserve">Compare fields; link, create new, send for review; child variant</t>
  </si>
  <si>
    <t xml:space="preserve">Same/Similar/Different/Missing shown; review queue works; a conflicting candidate links in one click (Blocker).  →  Round 2: fixed, step passes.</t>
  </si>
  <si>
    <t xml:space="preserve">A3</t>
  </si>
  <si>
    <t xml:space="preserve">Invalid/future DOB, Bangla digits, approx age, phone checks, save</t>
  </si>
  <si>
    <t xml:space="preserve">Date and phone validation good; empty form saves and queue shows another patient (Blocker).  →  Round 2: fixed, step passes.</t>
  </si>
  <si>
    <t xml:space="preserve">A4</t>
  </si>
  <si>
    <t xml:space="preserve">Nurse</t>
  </si>
  <si>
    <t xml:space="preserve">Abnormal and impossible vitals, save</t>
  </si>
  <si>
    <t xml:space="preserve">Text warnings for each abnormal value; impossible values block save; ‘Saved’ only after server confirm.</t>
  </si>
  <si>
    <t xml:space="preserve">A5</t>
  </si>
  <si>
    <t xml:space="preserve">Doctor</t>
  </si>
  <si>
    <t xml:space="preserve">Complaint, ICD-11 search (EN + Bangla), orders, Rx, allergy test, AI panel, sign with PIN</t>
  </si>
  <si>
    <t xml:space="preserve">Penicillin conflict blocks signing; AI labelled ‘draft — not a diagnosis’; PIN sign locks note. ‘/’ opens global search; names truncated; duplicate Napa.  →  Round 2: fixed, step passes.</t>
  </si>
  <si>
    <t xml:space="preserve">A6</t>
  </si>
  <si>
    <t xml:space="preserve">Cashier</t>
  </si>
  <si>
    <t xml:space="preserve">Bill lines, VAT, discount above limit</t>
  </si>
  <si>
    <t xml:space="preserve">Source per line and VAT shown; ৳3,000 discount needs manager approval. RBS not on bill.  →  Round 2: fixed, step passes.</t>
  </si>
  <si>
    <t xml:space="preserve">A7</t>
  </si>
  <si>
    <t xml:space="preserve">bKash link, confirm, fail, cash, partial, receipt, reprint</t>
  </si>
  <si>
    <t xml:space="preserve">Confirm/fail paths good; Bangla/English receipt with QR, Mushak-6.3, amount in words; reprint needs reason. Partial receipt payment line wrong.  →  Round 2: fixed, step passes.</t>
  </si>
  <si>
    <t xml:space="preserve">A8</t>
  </si>
  <si>
    <t xml:space="preserve">Lab technologist</t>
  </si>
  <si>
    <t xml:space="preserve">Tube guidance, labels, reject</t>
  </si>
  <si>
    <t xml:space="preserve">EDTA/plain/fluoride guidance; reject sends recollection SMS. Print labels gives no on-screen confirmation.</t>
  </si>
  <si>
    <t xml:space="preserve">A9</t>
  </si>
  <si>
    <t xml:space="preserve">Result entry, Enter-to-next, flags, delta check</t>
  </si>
  <si>
    <t xml:space="preserve">Enter moves to next field; delta check warns (Hb −46%, K +57%).</t>
  </si>
  <si>
    <t xml:space="preserve">A10</t>
  </si>
  <si>
    <t xml:space="preserve">Pathologist</t>
  </si>
  <si>
    <t xml:space="preserve">Technical verify, critical call-back, clinical validation</t>
  </si>
  <si>
    <t xml:space="preserve">Validation locked until call-back logged; PIN validation stamps credentialed validator.</t>
  </si>
  <si>
    <t xml:space="preserve">A11</t>
  </si>
  <si>
    <t xml:space="preserve">Release and send report</t>
  </si>
  <si>
    <t xml:space="preserve">All Send buttons disabled; banner contradicts log (Blocker). Works only inside one Lab page session.  →  Round 2: fixed, step passes.</t>
  </si>
  <si>
    <t xml:space="preserve">A12</t>
  </si>
  <si>
    <t xml:space="preserve">Doctor (phone)</t>
  </si>
  <si>
    <t xml:space="preserve">Inbox order, acknowledge, notify, offline</t>
  </si>
  <si>
    <t xml:space="preserve">Critical first; acknowledge notifies patient; offline shows ‘not yet synced’.</t>
  </si>
  <si>
    <t xml:space="preserve">A13</t>
  </si>
  <si>
    <t xml:space="preserve">Print preview A5/A4, QR, locked note, draft print</t>
  </si>
  <si>
    <t xml:space="preserve">Bangla Rx pad with QR; signed note read-only; drafts blocked from print (guide text says watermark).</t>
  </si>
  <si>
    <t xml:space="preserve">B1</t>
  </si>
  <si>
    <t xml:space="preserve">ER doctor</t>
  </si>
  <si>
    <t xml:space="preserve">Triage level, assign doctor, overdue flags</t>
  </si>
  <si>
    <t xml:space="preserve">Overdue unassigned patients show ⚠ + minutes. Header text overlap.  →  Round 2: fixed, step passes.</t>
  </si>
  <si>
    <t xml:space="preserve">B2</t>
  </si>
  <si>
    <t xml:space="preserve">One-tap STAT order, Admit, sign disposition</t>
  </si>
  <si>
    <t xml:space="preserve">CT head → Ordered; admission sent to HDU-3.</t>
  </si>
  <si>
    <t xml:space="preserve">B3</t>
  </si>
  <si>
    <t xml:space="preserve">Admission desk</t>
  </si>
  <si>
    <t xml:space="preserve">Bed class, package, deposit, consents, bed pick</t>
  </si>
  <si>
    <t xml:space="preserve">Deposit minimum changes with class/package; cleaning beds disabled; Admit unlocks after checklist. Different patient from B2.  →  Round 2: fixed, step passes.</t>
  </si>
  <si>
    <t xml:space="preserve">B4</t>
  </si>
  <si>
    <t xml:space="preserve">Ward in-charge</t>
  </si>
  <si>
    <t xml:space="preserve">Bed map legend, bed detail, filters</t>
  </si>
  <si>
    <t xml:space="preserve">Every state has text + icon; detail drawer; filters work.</t>
  </si>
  <si>
    <t xml:space="preserve">B5</t>
  </si>
  <si>
    <t xml:space="preserve">Due dose, two scans, Given; Held needs reason</t>
  </si>
  <si>
    <t xml:space="preserve">Record locked until band + medicine scanned; Held needs reason. Wrong patient banner.</t>
  </si>
  <si>
    <t xml:space="preserve">B6</t>
  </si>
  <si>
    <t xml:space="preserve">RR 26, pulse 124, temp 102 → escalation → log</t>
  </si>
  <si>
    <t xml:space="preserve">MEWS 7 opens ‘Inform duty doctor’; acknowledge needs ‘spoke to’. 3-digit values clipped; wrong banner.  →  Round 2: fixed, step passes.</t>
  </si>
  <si>
    <t xml:space="preserve">B7</t>
  </si>
  <si>
    <t xml:space="preserve">Risk-sorted round, SOAP, sign</t>
  </si>
  <si>
    <t xml:space="preserve">Signing moves to the next patient.</t>
  </si>
  <si>
    <t xml:space="preserve">B8</t>
  </si>
  <si>
    <t xml:space="preserve">IPD billing</t>
  </si>
  <si>
    <t xml:space="preserve">Line tags, low-deposit alert, class change preview</t>
  </si>
  <si>
    <t xml:space="preserve">Package/Included/Excluded tags; deposit alert with guardian link; price impact preview.</t>
  </si>
  <si>
    <t xml:space="preserve">B9</t>
  </si>
  <si>
    <t xml:space="preserve">Six steps, blocker named, mark done</t>
  </si>
  <si>
    <t xml:space="preserve">‘Blocked by Pharmacy · Md. Jewel Rana’.</t>
  </si>
  <si>
    <t xml:space="preserve">B10</t>
  </si>
  <si>
    <t xml:space="preserve">Final summary, settle against deposit</t>
  </si>
  <si>
    <t xml:space="preserve">Final bill disabled (pharmacy returns pending) so the step can’t be completed; wrong banner vs NKDA.  →  Round 2: fixed, step passes.</t>
  </si>
  <si>
    <t xml:space="preserve">B11</t>
  </si>
  <si>
    <t xml:space="preserve">Sign summary, QR, print, languages</t>
  </si>
  <si>
    <t xml:space="preserve">Watermark removed, QR appears, print unlocks.</t>
  </si>
  <si>
    <t xml:space="preserve">B12</t>
  </si>
  <si>
    <t xml:space="preserve">Cleaning → Mark ready → Vacant</t>
  </si>
  <si>
    <t xml:space="preserve">2A-05, 3B-08 and Cabin 205 all become Vacant.</t>
  </si>
  <si>
    <t xml:space="preserve">C1</t>
  </si>
  <si>
    <t xml:space="preserve">Owner (phone)</t>
  </si>
  <si>
    <t xml:space="preserve">KPIs, drill-down</t>
  </si>
  <si>
    <t xml:space="preserve">Tiles drill to lists. Identical % changes look templated.  →  Round 2: fixed, step passes.</t>
  </si>
  <si>
    <t xml:space="preserve">C2</t>
  </si>
  <si>
    <t xml:space="preserve">Discounts above policy</t>
  </si>
  <si>
    <t xml:space="preserve">Shows bills and who gave them; viewing logged.</t>
  </si>
  <si>
    <t xml:space="preserve">C3</t>
  </si>
  <si>
    <t xml:space="preserve">Approve one, reject one with reason</t>
  </si>
  <si>
    <t xml:space="preserve">Reject needs a reason; cashier notified.</t>
  </si>
  <si>
    <t xml:space="preserve">C4</t>
  </si>
  <si>
    <t xml:space="preserve">Recount / accept variance</t>
  </si>
  <si>
    <t xml:space="preserve">Both work; accept needs no note.  →  Round 2: fixed, step passes.</t>
  </si>
  <si>
    <t xml:space="preserve">D1</t>
  </si>
  <si>
    <t xml:space="preserve">Patient</t>
  </si>
  <si>
    <t xml:space="preserve">Language, phone, OTP</t>
  </si>
  <si>
    <t xml:space="preserve">OTP flow works; English choice stays Bangla.  →  Round 2: fixed, step passes.</t>
  </si>
  <si>
    <t xml:space="preserve">D2</t>
  </si>
  <si>
    <t xml:space="preserve">Minimal hints, receipt code, wrong code, not mine</t>
  </si>
  <si>
    <t xml:space="preserve">Only facility and month shown; OTP explanation good; any code is accepted (Blocker).  →  Round 2: fixed, step passes.</t>
  </si>
  <si>
    <t xml:space="preserve">D3</t>
  </si>
  <si>
    <t xml:space="preserve">Source badges, filters, open report</t>
  </si>
  <si>
    <t xml:space="preserve">Verified / my upload / reported by me badges; filters work.</t>
  </si>
  <si>
    <t xml:space="preserve">D4</t>
  </si>
  <si>
    <t xml:space="preserve">Plain-language report, trend, PDF tab</t>
  </si>
  <si>
    <t xml:space="preserve">Says ‘not a diagnosis’; critical potassium advice; QR-verified PDF.</t>
  </si>
  <si>
    <t xml:space="preserve">D5</t>
  </si>
  <si>
    <t xml:space="preserve">Tick records, choose doctor, 7 days, share</t>
  </si>
  <si>
    <t xml:space="preserve">Active share ends 06/10/2026.</t>
  </si>
  <si>
    <t xml:space="preserve">D6</t>
  </si>
  <si>
    <t xml:space="preserve">Active → Stop sharing → confirm → Who viewed</t>
  </si>
  <si>
    <t xml:space="preserve">Share stops with timestamp; access history shows who viewed.</t>
  </si>
  <si>
    <t xml:space="preserve">E1</t>
  </si>
  <si>
    <t xml:space="preserve">Portable order, patient picks centre</t>
  </si>
  <si>
    <t xml:space="preserve">Centre sees nothing until chosen.</t>
  </si>
  <si>
    <t xml:space="preserve">E2</t>
  </si>
  <si>
    <t xml:space="preserve">Diagnostic centre</t>
  </si>
  <si>
    <t xml:space="preserve">Accept 5 of 6, return USG with reason</t>
  </si>
  <si>
    <t xml:space="preserve">Works, but starts from the blank E1 state.  →  Round 2: fixed, step passes.</t>
  </si>
  <si>
    <t xml:space="preserve">E3</t>
  </si>
  <si>
    <t xml:space="preserve">All parties</t>
  </si>
  <si>
    <t xml:space="preserve">Book + pay, collect, release, acknowledge, re-order USG</t>
  </si>
  <si>
    <t xml:space="preserve">Full chain works in one session; starts from blank E1 state.  →  Round 2: fixed, step passes.</t>
  </si>
  <si>
    <t xml:space="preserve">E4</t>
  </si>
  <si>
    <t xml:space="preserve">Doctor (Clinic C)</t>
  </si>
  <si>
    <t xml:space="preserve">Source badges, sensitive data hidden, request access</t>
  </si>
  <si>
    <t xml:space="preserve">Request goes to patient app/SMS.</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</si>
</sst>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0B5F57"/>
      <name val="Arial"/>
      <family val="0"/>
      <charset val="1"/>
    </font>
    <font>
      <i val="true"/>
      <sz val="10"/>
      <color rgb="FF555555"/>
      <name val="Arial"/>
      <family val="0"/>
      <charset val="1"/>
    </font>
    <font>
      <b val="true"/>
      <sz val="12"/>
      <name val="Arial"/>
      <family val="0"/>
      <charset val="1"/>
    </font>
    <font>
      <sz val="11"/>
      <name val="Arial"/>
      <family val="0"/>
      <charset val="1"/>
    </font>
    <font>
      <b val="true"/>
      <sz val="11"/>
      <color rgb="FFFFFFFF"/>
      <name val="Arial"/>
      <family val="0"/>
      <charset val="1"/>
    </font>
    <font>
      <b val="true"/>
      <sz val="11"/>
      <name val="Arial"/>
      <family val="0"/>
      <charset val="1"/>
    </font>
    <font>
      <sz val="10"/>
      <name val="Arial"/>
      <family val="0"/>
      <charset val="1"/>
    </font>
    <font>
      <i val="true"/>
      <sz val="9"/>
      <color rgb="FF555555"/>
      <name val="Arial"/>
      <family val="0"/>
      <charset val="1"/>
    </font>
    <font>
      <b val="true"/>
      <sz val="10"/>
      <name val="Arial"/>
      <family val="0"/>
      <charset val="1"/>
    </font>
  </fonts>
  <fills count="8">
    <fill>
      <patternFill patternType="none"/>
    </fill>
    <fill>
      <patternFill patternType="gray125"/>
    </fill>
    <fill>
      <patternFill patternType="solid">
        <fgColor rgb="FF0B5F57"/>
        <bgColor rgb="FF008080"/>
      </patternFill>
    </fill>
    <fill>
      <patternFill patternType="solid">
        <fgColor rgb="FFF8D7DA"/>
        <bgColor rgb="FFFFE8C2"/>
      </patternFill>
    </fill>
    <fill>
      <patternFill patternType="solid">
        <fgColor rgb="FFFFE8C2"/>
        <bgColor rgb="FFFFF3D6"/>
      </patternFill>
    </fill>
    <fill>
      <patternFill patternType="solid">
        <fgColor rgb="FFE8F0EE"/>
        <bgColor rgb="FFDDF1E6"/>
      </patternFill>
    </fill>
    <fill>
      <patternFill patternType="solid">
        <fgColor rgb="FFDDF1E6"/>
        <bgColor rgb="FFE8F0EE"/>
      </patternFill>
    </fill>
    <fill>
      <patternFill patternType="solid">
        <fgColor rgb="FFFFF3D6"/>
        <bgColor rgb="FFFFE8C2"/>
      </patternFill>
    </fill>
  </fills>
  <borders count="2">
    <border diagonalUp="false" diagonalDown="false">
      <left/>
      <right/>
      <top/>
      <bottom/>
      <diagonal/>
    </border>
    <border diagonalUp="false" diagonalDown="false">
      <left style="thin">
        <color rgb="FFC9D3D1"/>
      </left>
      <right style="thin">
        <color rgb="FFC9D3D1"/>
      </right>
      <top style="thin">
        <color rgb="FFC9D3D1"/>
      </top>
      <bottom style="thin">
        <color rgb="FFC9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B5F57"/>
          <bgColor rgb="FF000000"/>
        </patternFill>
      </fill>
    </dxf>
    <dxf>
      <fill>
        <patternFill patternType="solid">
          <bgColor rgb="FF000000"/>
        </patternFill>
      </fill>
    </dxf>
    <dxf>
      <fill>
        <patternFill patternType="solid">
          <fgColor rgb="FF7A8A87"/>
          <bgColor rgb="FF000000"/>
        </patternFill>
      </fill>
    </dxf>
    <dxf>
      <fill>
        <patternFill patternType="solid">
          <fgColor rgb="FFFFFFFF"/>
          <bgColor rgb="FF000000"/>
        </patternFill>
      </fill>
    </dxf>
    <dxf>
      <fill>
        <patternFill patternType="solid">
          <fgColor rgb="FFE8F0EE"/>
          <bgColor rgb="FF000000"/>
        </patternFill>
      </fill>
    </dxf>
    <dxf>
      <fill>
        <patternFill patternType="solid">
          <fgColor rgb="FFF8D7DA"/>
          <bgColor rgb="FF000000"/>
        </patternFill>
      </fill>
    </dxf>
    <dxf>
      <fill>
        <patternFill patternType="solid">
          <fgColor rgb="FFFFE8C2"/>
          <bgColor rgb="FF000000"/>
        </patternFill>
      </fill>
    </dxf>
    <dxf>
      <font>
        <name val="Arial"/>
        <charset val="1"/>
        <family val="0"/>
        <strike val="1"/>
        <color rgb="FF7A8A87"/>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5F57"/>
      <rgbColor rgb="FFC0C0C0"/>
      <rgbColor rgb="FF7A8A87"/>
      <rgbColor rgb="FF9999FF"/>
      <rgbColor rgb="FF993366"/>
      <rgbColor rgb="FFFFF3D6"/>
      <rgbColor rgb="FFDDF1E6"/>
      <rgbColor rgb="FF660066"/>
      <rgbColor rgb="FFFF8080"/>
      <rgbColor rgb="FF0066CC"/>
      <rgbColor rgb="FFC9D3D1"/>
      <rgbColor rgb="FF000080"/>
      <rgbColor rgb="FFFF00FF"/>
      <rgbColor rgb="FFFFFF00"/>
      <rgbColor rgb="FF00FFFF"/>
      <rgbColor rgb="FF800080"/>
      <rgbColor rgb="FF800000"/>
      <rgbColor rgb="FF008080"/>
      <rgbColor rgb="FF0000FF"/>
      <rgbColor rgb="FF00CCFF"/>
      <rgbColor rgb="FFE8F0EE"/>
      <rgbColor rgb="FFCCFFCC"/>
      <rgbColor rgb="FFFFE8C2"/>
      <rgbColor rgb="FF99CCFF"/>
      <rgbColor rgb="FFFF99CC"/>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8" hidden="false" customHeight="true" outlineLevel="0" collapsed="false">
      <c r="A5" s="4" t="s">
        <v>3</v>
      </c>
      <c r="B5" s="4"/>
      <c r="C5" s="4"/>
      <c r="D5" s="4"/>
    </row>
    <row r="7" customFormat="false" ht="15" hidden="false" customHeight="false" outlineLevel="0" collapsed="false">
      <c r="A7" s="3" t="s">
        <v>4</v>
      </c>
    </row>
    <row r="8" customFormat="false" ht="15" hidden="false" customHeight="false" outlineLevel="0" collapsed="false">
      <c r="A8" s="5" t="s">
        <v>5</v>
      </c>
      <c r="B8" s="5" t="s">
        <v>6</v>
      </c>
      <c r="C8" s="5" t="s">
        <v>7</v>
      </c>
      <c r="D8" s="5" t="s">
        <v>8</v>
      </c>
    </row>
    <row r="9" customFormat="false" ht="15" hidden="false" customHeight="false" outlineLevel="0" collapsed="false">
      <c r="A9" s="6" t="s">
        <v>9</v>
      </c>
      <c r="B9" s="7" t="n">
        <f aca="false">COUNTIFS(Issues!$B:$B,A9,Issues!$J:$J,"Open")</f>
        <v>0</v>
      </c>
      <c r="C9" s="7" t="n">
        <f aca="false">COUNTIFS(Issues!$B:$B,A9,Issues!$J:$J,"Fixed")+COUNTIFS(Issues!$B:$B,A9,Issues!$J:$J,"Partly fixed")+COUNTIFS(Issues!$B:$B,A9,Issues!$J:$J,"Fixed in prototype")</f>
        <v>7</v>
      </c>
      <c r="D9" s="7" t="n">
        <f aca="false">COUNTIF(Issues!$B:$B,A9)</f>
        <v>7</v>
      </c>
    </row>
    <row r="10" customFormat="false" ht="15" hidden="false" customHeight="false" outlineLevel="0" collapsed="false">
      <c r="A10" s="8" t="s">
        <v>10</v>
      </c>
      <c r="B10" s="9" t="n">
        <f aca="false">COUNTIFS(Issues!$B:$B,A10,Issues!$J:$J,"Open")</f>
        <v>0</v>
      </c>
      <c r="C10" s="9" t="n">
        <f aca="false">COUNTIFS(Issues!$B:$B,A10,Issues!$J:$J,"Fixed")+COUNTIFS(Issues!$B:$B,A10,Issues!$J:$J,"Partly fixed")+COUNTIFS(Issues!$B:$B,A10,Issues!$J:$J,"Fixed in prototype")</f>
        <v>9</v>
      </c>
      <c r="D10" s="9" t="n">
        <f aca="false">COUNTIF(Issues!$B:$B,A10)</f>
        <v>9</v>
      </c>
    </row>
    <row r="11" customFormat="false" ht="15" hidden="false" customHeight="false" outlineLevel="0" collapsed="false">
      <c r="A11" s="10" t="s">
        <v>11</v>
      </c>
      <c r="B11" s="11" t="n">
        <f aca="false">COUNTIFS(Issues!$B:$B,A11,Issues!$J:$J,"Open")</f>
        <v>1</v>
      </c>
      <c r="C11" s="11" t="n">
        <f aca="false">COUNTIFS(Issues!$B:$B,A11,Issues!$J:$J,"Fixed")+COUNTIFS(Issues!$B:$B,A11,Issues!$J:$J,"Partly fixed")+COUNTIFS(Issues!$B:$B,A11,Issues!$J:$J,"Fixed in prototype")</f>
        <v>11</v>
      </c>
      <c r="D11" s="11" t="n">
        <f aca="false">COUNTIF(Issues!$B:$B,A11)</f>
        <v>12</v>
      </c>
    </row>
    <row r="12" customFormat="false" ht="15" hidden="false" customHeight="false" outlineLevel="0" collapsed="false">
      <c r="A12" s="12" t="s">
        <v>8</v>
      </c>
      <c r="B12" s="12" t="n">
        <f aca="false">SUM(B9:B11)</f>
        <v>1</v>
      </c>
      <c r="C12" s="12" t="n">
        <f aca="false">SUM(C9:C11)</f>
        <v>27</v>
      </c>
      <c r="D12" s="12" t="n">
        <f aca="false">SUM(D9:D11)</f>
        <v>28</v>
      </c>
    </row>
    <row r="14" customFormat="false" ht="15" hidden="false" customHeight="false" outlineLevel="0" collapsed="false">
      <c r="A14" s="3" t="s">
        <v>12</v>
      </c>
    </row>
    <row r="15" customFormat="false" ht="15" hidden="false" customHeight="false" outlineLevel="0" collapsed="false">
      <c r="A15" s="5" t="s">
        <v>13</v>
      </c>
      <c r="B15" s="5" t="s">
        <v>14</v>
      </c>
    </row>
    <row r="16" customFormat="false" ht="15" hidden="false" customHeight="false" outlineLevel="0" collapsed="false">
      <c r="A16" s="13" t="s">
        <v>15</v>
      </c>
      <c r="B16" s="13" t="n">
        <f aca="false">COUNTIF('Journey steps'!$E:$E,A16)</f>
        <v>39</v>
      </c>
    </row>
    <row r="17" customFormat="false" ht="15" hidden="false" customHeight="false" outlineLevel="0" collapsed="false">
      <c r="A17" s="13" t="s">
        <v>16</v>
      </c>
      <c r="B17" s="13" t="n">
        <f aca="false">COUNTIF('Journey steps'!$E:$E,A17)</f>
        <v>0</v>
      </c>
    </row>
    <row r="18" customFormat="false" ht="15" hidden="false" customHeight="false" outlineLevel="0" collapsed="false">
      <c r="A18" s="13" t="s">
        <v>17</v>
      </c>
      <c r="B18" s="13" t="n">
        <f aca="false">COUNTIF('Journey steps'!$E:$E,A18)</f>
        <v>0</v>
      </c>
    </row>
    <row r="19" customFormat="false" ht="15" hidden="false" customHeight="false" outlineLevel="0" collapsed="false">
      <c r="A19" s="13" t="s">
        <v>18</v>
      </c>
      <c r="B19" s="13" t="n">
        <f aca="false">COUNTIF('Journey steps'!$E:$E,A19)</f>
        <v>0</v>
      </c>
    </row>
    <row r="20" customFormat="false" ht="15" hidden="false" customHeight="false" outlineLevel="0" collapsed="false">
      <c r="A20" s="14" t="s">
        <v>8</v>
      </c>
      <c r="B20" s="14" t="n">
        <f aca="false">SUM(B16:B19)</f>
        <v>39</v>
      </c>
    </row>
    <row r="22" customFormat="false" ht="15" hidden="false" customHeight="false" outlineLevel="0" collapsed="false">
      <c r="A22" s="3" t="s">
        <v>19</v>
      </c>
    </row>
    <row r="23" customFormat="false" ht="30" hidden="false" customHeight="true" outlineLevel="0" collapsed="false">
      <c r="A23" s="15" t="s">
        <v>20</v>
      </c>
      <c r="B23" s="15"/>
      <c r="C23" s="15"/>
      <c r="D23" s="15"/>
    </row>
    <row r="24" customFormat="false" ht="30" hidden="false" customHeight="true" outlineLevel="0" collapsed="false">
      <c r="A24" s="15" t="s">
        <v>21</v>
      </c>
      <c r="B24" s="15"/>
      <c r="C24" s="15"/>
      <c r="D24" s="15"/>
    </row>
    <row r="25" customFormat="false" ht="30" hidden="false" customHeight="true" outlineLevel="0" collapsed="false">
      <c r="A25" s="15" t="s">
        <v>22</v>
      </c>
      <c r="B25" s="15"/>
      <c r="C25" s="15"/>
      <c r="D25" s="15"/>
    </row>
    <row r="26" customFormat="false" ht="30" hidden="false" customHeight="true" outlineLevel="0" collapsed="false">
      <c r="A26" s="15" t="s">
        <v>23</v>
      </c>
      <c r="B26" s="15"/>
      <c r="C26" s="15"/>
      <c r="D26" s="15"/>
    </row>
    <row r="27" customFormat="false" ht="30" hidden="false" customHeight="true" outlineLevel="0" collapsed="false">
      <c r="A27" s="15" t="s">
        <v>24</v>
      </c>
      <c r="B27" s="15"/>
      <c r="C27" s="15"/>
      <c r="D27" s="15"/>
    </row>
    <row r="28" customFormat="false" ht="30" hidden="false" customHeight="true" outlineLevel="0" collapsed="false">
      <c r="A28" s="15" t="s">
        <v>25</v>
      </c>
      <c r="B28" s="15"/>
      <c r="C28" s="15"/>
      <c r="D28" s="15"/>
    </row>
    <row r="29" customFormat="false" ht="30" hidden="false" customHeight="true" outlineLevel="0" collapsed="false">
      <c r="A29" s="15" t="s">
        <v>26</v>
      </c>
      <c r="B29" s="15"/>
      <c r="C29" s="15"/>
      <c r="D29" s="15"/>
    </row>
    <row r="31" customFormat="false" ht="15" hidden="false" customHeight="false" outlineLevel="0" collapsed="false">
      <c r="A31" s="3" t="s">
        <v>27</v>
      </c>
    </row>
    <row r="32" customFormat="false" ht="30" hidden="false" customHeight="true" outlineLevel="0" collapsed="false">
      <c r="A32" s="15" t="s">
        <v>28</v>
      </c>
      <c r="B32" s="15"/>
      <c r="C32" s="15"/>
      <c r="D32" s="15"/>
    </row>
    <row r="33" customFormat="false" ht="30" hidden="false" customHeight="true" outlineLevel="0" collapsed="false">
      <c r="A33" s="15" t="s">
        <v>29</v>
      </c>
      <c r="B33" s="15"/>
      <c r="C33" s="15"/>
      <c r="D33" s="15"/>
    </row>
    <row r="34" customFormat="false" ht="30" hidden="false" customHeight="true" outlineLevel="0" collapsed="false">
      <c r="A34" s="15" t="s">
        <v>30</v>
      </c>
      <c r="B34" s="15"/>
      <c r="C34" s="15"/>
      <c r="D34" s="15"/>
    </row>
    <row r="36" customFormat="false" ht="15" hidden="false" customHeight="false" outlineLevel="0" collapsed="false">
      <c r="A36" s="3" t="s">
        <v>31</v>
      </c>
    </row>
    <row r="37" customFormat="false" ht="23.85" hidden="false" customHeight="true" outlineLevel="0" collapsed="false">
      <c r="A37" s="15" t="s">
        <v>32</v>
      </c>
      <c r="B37" s="15"/>
      <c r="C37" s="15"/>
      <c r="D37" s="15"/>
    </row>
    <row r="38" customFormat="false" ht="23.85" hidden="false" customHeight="true" outlineLevel="0" collapsed="false">
      <c r="A38" s="15" t="s">
        <v>33</v>
      </c>
      <c r="B38" s="15"/>
      <c r="C38" s="15"/>
      <c r="D38" s="15"/>
    </row>
    <row r="39" customFormat="false" ht="15" hidden="false" customHeight="true" outlineLevel="0" collapsed="false">
      <c r="A39" s="15" t="s">
        <v>34</v>
      </c>
      <c r="B39" s="15"/>
      <c r="C39" s="15"/>
      <c r="D39" s="15"/>
    </row>
    <row r="41" customFormat="false" ht="15" hidden="false" customHeight="false" outlineLevel="0" collapsed="false">
      <c r="A41" s="16" t="s">
        <v>35</v>
      </c>
    </row>
  </sheetData>
  <mergeCells count="14">
    <mergeCell ref="A5:D5"/>
    <mergeCell ref="A23:D23"/>
    <mergeCell ref="A24:D24"/>
    <mergeCell ref="A25:D25"/>
    <mergeCell ref="A26:D26"/>
    <mergeCell ref="A27:D27"/>
    <mergeCell ref="A28:D28"/>
    <mergeCell ref="A29:D29"/>
    <mergeCell ref="A32:D32"/>
    <mergeCell ref="A33:D33"/>
    <mergeCell ref="A34:D34"/>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30"/>
    <col collapsed="false" customWidth="true" hidden="false" outlineLevel="0" max="5" min="5" style="0" width="60"/>
    <col collapsed="false" customWidth="true" hidden="false" outlineLevel="0" max="6" min="6" style="0" width="38"/>
    <col collapsed="false" customWidth="true" hidden="false" outlineLevel="0" max="7" min="7" style="0" width="34"/>
    <col collapsed="false" customWidth="true" hidden="false" outlineLevel="0" max="8" min="8" style="0" width="22"/>
    <col collapsed="false" customWidth="true" hidden="false" outlineLevel="0" max="9" min="9" style="0" width="60"/>
    <col collapsed="false" customWidth="true" hidden="false" outlineLevel="0" max="10" min="10" style="0" width="16"/>
    <col collapsed="false" customWidth="true" hidden="false" outlineLevel="0" max="11" min="11" style="0" width="60"/>
  </cols>
  <sheetData>
    <row r="1" customFormat="false" ht="26.85" hidden="false" customHeight="false" outlineLevel="0" collapsed="false">
      <c r="A1" s="17" t="s">
        <v>36</v>
      </c>
      <c r="B1" s="17" t="s">
        <v>5</v>
      </c>
      <c r="C1" s="17" t="s">
        <v>37</v>
      </c>
      <c r="D1" s="17" t="s">
        <v>38</v>
      </c>
      <c r="E1" s="17" t="s">
        <v>39</v>
      </c>
      <c r="F1" s="17" t="s">
        <v>40</v>
      </c>
      <c r="G1" s="17" t="s">
        <v>41</v>
      </c>
      <c r="H1" s="17" t="s">
        <v>42</v>
      </c>
      <c r="I1" s="17" t="s">
        <v>43</v>
      </c>
      <c r="J1" s="17" t="s">
        <v>44</v>
      </c>
      <c r="K1" s="17" t="s">
        <v>45</v>
      </c>
    </row>
    <row r="2" customFormat="false" ht="150" hidden="false" customHeight="true" outlineLevel="0" collapsed="false">
      <c r="A2" s="18" t="n">
        <v>1</v>
      </c>
      <c r="B2" s="19" t="s">
        <v>9</v>
      </c>
      <c r="C2" s="18" t="s">
        <v>46</v>
      </c>
      <c r="D2" s="18" t="s">
        <v>47</v>
      </c>
      <c r="E2" s="18" t="s">
        <v>48</v>
      </c>
      <c r="F2" s="18" t="s">
        <v>49</v>
      </c>
      <c r="G2" s="18" t="s">
        <v>50</v>
      </c>
      <c r="H2" s="18" t="s">
        <v>51</v>
      </c>
      <c r="I2" s="18" t="s">
        <v>52</v>
      </c>
      <c r="J2" s="18" t="s">
        <v>53</v>
      </c>
      <c r="K2" s="18" t="s">
        <v>54</v>
      </c>
    </row>
    <row r="3" customFormat="false" ht="150" hidden="false" customHeight="true" outlineLevel="0" collapsed="false">
      <c r="A3" s="18" t="n">
        <v>2</v>
      </c>
      <c r="B3" s="19" t="s">
        <v>9</v>
      </c>
      <c r="C3" s="18" t="s">
        <v>55</v>
      </c>
      <c r="D3" s="18" t="s">
        <v>56</v>
      </c>
      <c r="E3" s="18" t="s">
        <v>57</v>
      </c>
      <c r="F3" s="18" t="s">
        <v>58</v>
      </c>
      <c r="G3" s="18" t="s">
        <v>59</v>
      </c>
      <c r="H3" s="18" t="s">
        <v>60</v>
      </c>
      <c r="I3" s="18" t="s">
        <v>61</v>
      </c>
      <c r="J3" s="18" t="s">
        <v>53</v>
      </c>
      <c r="K3" s="18" t="s">
        <v>62</v>
      </c>
    </row>
    <row r="4" customFormat="false" ht="150" hidden="false" customHeight="true" outlineLevel="0" collapsed="false">
      <c r="A4" s="18" t="n">
        <v>3</v>
      </c>
      <c r="B4" s="19" t="s">
        <v>9</v>
      </c>
      <c r="C4" s="18" t="s">
        <v>63</v>
      </c>
      <c r="D4" s="18" t="s">
        <v>64</v>
      </c>
      <c r="E4" s="18" t="s">
        <v>65</v>
      </c>
      <c r="F4" s="18" t="s">
        <v>66</v>
      </c>
      <c r="G4" s="18" t="s">
        <v>67</v>
      </c>
      <c r="H4" s="18" t="s">
        <v>68</v>
      </c>
      <c r="I4" s="18" t="s">
        <v>69</v>
      </c>
      <c r="J4" s="18" t="s">
        <v>53</v>
      </c>
      <c r="K4" s="18" t="s">
        <v>70</v>
      </c>
    </row>
    <row r="5" customFormat="false" ht="150" hidden="false" customHeight="true" outlineLevel="0" collapsed="false">
      <c r="A5" s="18" t="n">
        <v>4</v>
      </c>
      <c r="B5" s="19" t="s">
        <v>9</v>
      </c>
      <c r="C5" s="18" t="s">
        <v>71</v>
      </c>
      <c r="D5" s="18" t="s">
        <v>72</v>
      </c>
      <c r="E5" s="18" t="s">
        <v>73</v>
      </c>
      <c r="F5" s="18" t="s">
        <v>74</v>
      </c>
      <c r="G5" s="18" t="s">
        <v>75</v>
      </c>
      <c r="H5" s="18" t="s">
        <v>76</v>
      </c>
      <c r="I5" s="18" t="s">
        <v>77</v>
      </c>
      <c r="J5" s="18" t="s">
        <v>53</v>
      </c>
      <c r="K5" s="18" t="s">
        <v>78</v>
      </c>
    </row>
    <row r="6" customFormat="false" ht="150" hidden="false" customHeight="true" outlineLevel="0" collapsed="false">
      <c r="A6" s="18" t="n">
        <v>5</v>
      </c>
      <c r="B6" s="19" t="s">
        <v>9</v>
      </c>
      <c r="C6" s="18" t="s">
        <v>79</v>
      </c>
      <c r="D6" s="18" t="s">
        <v>80</v>
      </c>
      <c r="E6" s="18" t="s">
        <v>81</v>
      </c>
      <c r="F6" s="18" t="s">
        <v>82</v>
      </c>
      <c r="G6" s="18" t="s">
        <v>83</v>
      </c>
      <c r="H6" s="18" t="s">
        <v>84</v>
      </c>
      <c r="I6" s="18" t="s">
        <v>85</v>
      </c>
      <c r="J6" s="18" t="s">
        <v>53</v>
      </c>
      <c r="K6" s="18" t="s">
        <v>86</v>
      </c>
    </row>
    <row r="7" customFormat="false" ht="150" hidden="false" customHeight="true" outlineLevel="0" collapsed="false">
      <c r="A7" s="18" t="n">
        <v>6</v>
      </c>
      <c r="B7" s="19" t="s">
        <v>9</v>
      </c>
      <c r="C7" s="18" t="s">
        <v>87</v>
      </c>
      <c r="D7" s="18" t="s">
        <v>88</v>
      </c>
      <c r="E7" s="18" t="s">
        <v>89</v>
      </c>
      <c r="F7" s="18" t="s">
        <v>90</v>
      </c>
      <c r="G7" s="18" t="s">
        <v>91</v>
      </c>
      <c r="H7" s="18" t="s">
        <v>92</v>
      </c>
      <c r="I7" s="18" t="s">
        <v>93</v>
      </c>
      <c r="J7" s="18" t="s">
        <v>53</v>
      </c>
      <c r="K7" s="18" t="s">
        <v>94</v>
      </c>
    </row>
    <row r="8" customFormat="false" ht="150" hidden="false" customHeight="true" outlineLevel="0" collapsed="false">
      <c r="A8" s="18" t="n">
        <v>7</v>
      </c>
      <c r="B8" s="20" t="s">
        <v>10</v>
      </c>
      <c r="C8" s="18" t="s">
        <v>95</v>
      </c>
      <c r="D8" s="18" t="s">
        <v>96</v>
      </c>
      <c r="E8" s="18" t="s">
        <v>97</v>
      </c>
      <c r="F8" s="18" t="s">
        <v>98</v>
      </c>
      <c r="G8" s="18" t="s">
        <v>99</v>
      </c>
      <c r="H8" s="18" t="s">
        <v>100</v>
      </c>
      <c r="I8" s="18" t="s">
        <v>101</v>
      </c>
      <c r="J8" s="18" t="s">
        <v>53</v>
      </c>
      <c r="K8" s="18" t="s">
        <v>102</v>
      </c>
    </row>
    <row r="9" customFormat="false" ht="150" hidden="false" customHeight="true" outlineLevel="0" collapsed="false">
      <c r="A9" s="18" t="n">
        <v>8</v>
      </c>
      <c r="B9" s="20" t="s">
        <v>10</v>
      </c>
      <c r="C9" s="18" t="s">
        <v>103</v>
      </c>
      <c r="D9" s="18" t="s">
        <v>104</v>
      </c>
      <c r="E9" s="18" t="s">
        <v>105</v>
      </c>
      <c r="F9" s="18" t="s">
        <v>106</v>
      </c>
      <c r="G9" s="18" t="s">
        <v>107</v>
      </c>
      <c r="H9" s="18" t="s">
        <v>108</v>
      </c>
      <c r="I9" s="18" t="s">
        <v>109</v>
      </c>
      <c r="J9" s="18" t="s">
        <v>53</v>
      </c>
      <c r="K9" s="18" t="s">
        <v>110</v>
      </c>
    </row>
    <row r="10" customFormat="false" ht="150" hidden="false" customHeight="true" outlineLevel="0" collapsed="false">
      <c r="A10" s="18" t="n">
        <v>9</v>
      </c>
      <c r="B10" s="20" t="s">
        <v>10</v>
      </c>
      <c r="C10" s="18" t="s">
        <v>111</v>
      </c>
      <c r="D10" s="18" t="s">
        <v>112</v>
      </c>
      <c r="E10" s="18" t="s">
        <v>113</v>
      </c>
      <c r="F10" s="18" t="s">
        <v>114</v>
      </c>
      <c r="G10" s="18" t="s">
        <v>115</v>
      </c>
      <c r="H10" s="18" t="s">
        <v>116</v>
      </c>
      <c r="I10" s="18" t="s">
        <v>117</v>
      </c>
      <c r="J10" s="18" t="s">
        <v>53</v>
      </c>
      <c r="K10" s="18" t="s">
        <v>118</v>
      </c>
    </row>
    <row r="11" customFormat="false" ht="150" hidden="false" customHeight="true" outlineLevel="0" collapsed="false">
      <c r="A11" s="18" t="n">
        <v>10</v>
      </c>
      <c r="B11" s="20" t="s">
        <v>10</v>
      </c>
      <c r="C11" s="18" t="s">
        <v>119</v>
      </c>
      <c r="D11" s="18" t="s">
        <v>120</v>
      </c>
      <c r="E11" s="18" t="s">
        <v>121</v>
      </c>
      <c r="F11" s="18" t="s">
        <v>122</v>
      </c>
      <c r="G11" s="18" t="s">
        <v>123</v>
      </c>
      <c r="H11" s="18" t="s">
        <v>124</v>
      </c>
      <c r="I11" s="18" t="s">
        <v>125</v>
      </c>
      <c r="J11" s="18" t="s">
        <v>53</v>
      </c>
      <c r="K11" s="18" t="s">
        <v>126</v>
      </c>
    </row>
    <row r="12" customFormat="false" ht="150" hidden="false" customHeight="true" outlineLevel="0" collapsed="false">
      <c r="A12" s="18" t="n">
        <v>11</v>
      </c>
      <c r="B12" s="20" t="s">
        <v>10</v>
      </c>
      <c r="C12" s="18" t="s">
        <v>127</v>
      </c>
      <c r="D12" s="18" t="s">
        <v>128</v>
      </c>
      <c r="E12" s="18" t="s">
        <v>129</v>
      </c>
      <c r="F12" s="18" t="s">
        <v>130</v>
      </c>
      <c r="G12" s="18" t="s">
        <v>131</v>
      </c>
      <c r="H12" s="18" t="s">
        <v>132</v>
      </c>
      <c r="I12" s="18" t="s">
        <v>133</v>
      </c>
      <c r="J12" s="18" t="s">
        <v>53</v>
      </c>
      <c r="K12" s="18" t="s">
        <v>134</v>
      </c>
    </row>
    <row r="13" customFormat="false" ht="150" hidden="false" customHeight="true" outlineLevel="0" collapsed="false">
      <c r="A13" s="18" t="n">
        <v>12</v>
      </c>
      <c r="B13" s="20" t="s">
        <v>10</v>
      </c>
      <c r="C13" s="18" t="s">
        <v>135</v>
      </c>
      <c r="D13" s="18" t="s">
        <v>136</v>
      </c>
      <c r="E13" s="18" t="s">
        <v>137</v>
      </c>
      <c r="F13" s="18" t="s">
        <v>138</v>
      </c>
      <c r="G13" s="18" t="s">
        <v>139</v>
      </c>
      <c r="H13" s="18" t="s">
        <v>140</v>
      </c>
      <c r="I13" s="18" t="s">
        <v>141</v>
      </c>
      <c r="J13" s="18" t="s">
        <v>53</v>
      </c>
      <c r="K13" s="18" t="s">
        <v>142</v>
      </c>
    </row>
    <row r="14" customFormat="false" ht="150" hidden="false" customHeight="true" outlineLevel="0" collapsed="false">
      <c r="A14" s="18" t="n">
        <v>13</v>
      </c>
      <c r="B14" s="20" t="s">
        <v>10</v>
      </c>
      <c r="C14" s="18" t="s">
        <v>143</v>
      </c>
      <c r="D14" s="18" t="s">
        <v>144</v>
      </c>
      <c r="E14" s="18" t="s">
        <v>145</v>
      </c>
      <c r="F14" s="18" t="s">
        <v>146</v>
      </c>
      <c r="G14" s="18" t="s">
        <v>147</v>
      </c>
      <c r="H14" s="18"/>
      <c r="I14" s="18" t="s">
        <v>148</v>
      </c>
      <c r="J14" s="18" t="s">
        <v>53</v>
      </c>
      <c r="K14" s="18" t="s">
        <v>149</v>
      </c>
    </row>
    <row r="15" customFormat="false" ht="150" hidden="false" customHeight="true" outlineLevel="0" collapsed="false">
      <c r="A15" s="18" t="n">
        <v>14</v>
      </c>
      <c r="B15" s="20" t="s">
        <v>10</v>
      </c>
      <c r="C15" s="18" t="s">
        <v>150</v>
      </c>
      <c r="D15" s="18" t="s">
        <v>151</v>
      </c>
      <c r="E15" s="18" t="s">
        <v>152</v>
      </c>
      <c r="F15" s="18" t="s">
        <v>153</v>
      </c>
      <c r="G15" s="18" t="s">
        <v>154</v>
      </c>
      <c r="H15" s="18"/>
      <c r="I15" s="18" t="s">
        <v>155</v>
      </c>
      <c r="J15" s="18" t="s">
        <v>53</v>
      </c>
      <c r="K15" s="18" t="s">
        <v>156</v>
      </c>
    </row>
    <row r="16" customFormat="false" ht="150" hidden="false" customHeight="true" outlineLevel="0" collapsed="false">
      <c r="A16" s="18" t="n">
        <v>15</v>
      </c>
      <c r="B16" s="20" t="s">
        <v>10</v>
      </c>
      <c r="C16" s="18" t="s">
        <v>157</v>
      </c>
      <c r="D16" s="18" t="s">
        <v>158</v>
      </c>
      <c r="E16" s="18" t="s">
        <v>159</v>
      </c>
      <c r="F16" s="18" t="s">
        <v>160</v>
      </c>
      <c r="G16" s="18" t="s">
        <v>161</v>
      </c>
      <c r="H16" s="18" t="s">
        <v>116</v>
      </c>
      <c r="I16" s="18" t="s">
        <v>162</v>
      </c>
      <c r="J16" s="18" t="s">
        <v>53</v>
      </c>
      <c r="K16" s="18" t="s">
        <v>163</v>
      </c>
    </row>
    <row r="17" customFormat="false" ht="94.5" hidden="false" customHeight="true" outlineLevel="0" collapsed="false">
      <c r="A17" s="18" t="n">
        <v>16</v>
      </c>
      <c r="B17" s="21" t="s">
        <v>11</v>
      </c>
      <c r="C17" s="18" t="s">
        <v>164</v>
      </c>
      <c r="D17" s="18" t="s">
        <v>165</v>
      </c>
      <c r="E17" s="18" t="s">
        <v>166</v>
      </c>
      <c r="F17" s="18" t="s">
        <v>167</v>
      </c>
      <c r="G17" s="18" t="s">
        <v>168</v>
      </c>
      <c r="H17" s="18" t="s">
        <v>169</v>
      </c>
      <c r="I17" s="18" t="s">
        <v>170</v>
      </c>
      <c r="J17" s="18" t="s">
        <v>53</v>
      </c>
      <c r="K17" s="18" t="s">
        <v>171</v>
      </c>
    </row>
    <row r="18" customFormat="false" ht="94.5" hidden="false" customHeight="true" outlineLevel="0" collapsed="false">
      <c r="A18" s="18" t="n">
        <v>17</v>
      </c>
      <c r="B18" s="21" t="s">
        <v>11</v>
      </c>
      <c r="C18" s="18" t="s">
        <v>172</v>
      </c>
      <c r="D18" s="18" t="s">
        <v>173</v>
      </c>
      <c r="E18" s="18" t="s">
        <v>174</v>
      </c>
      <c r="F18" s="18" t="s">
        <v>175</v>
      </c>
      <c r="G18" s="18" t="s">
        <v>176</v>
      </c>
      <c r="H18" s="18"/>
      <c r="I18" s="18" t="s">
        <v>177</v>
      </c>
      <c r="J18" s="18" t="s">
        <v>178</v>
      </c>
      <c r="K18" s="18" t="s">
        <v>179</v>
      </c>
    </row>
    <row r="19" customFormat="false" ht="94.5" hidden="false" customHeight="true" outlineLevel="0" collapsed="false">
      <c r="A19" s="18" t="n">
        <v>18</v>
      </c>
      <c r="B19" s="21" t="s">
        <v>11</v>
      </c>
      <c r="C19" s="18" t="s">
        <v>180</v>
      </c>
      <c r="D19" s="18" t="s">
        <v>181</v>
      </c>
      <c r="E19" s="18" t="s">
        <v>182</v>
      </c>
      <c r="F19" s="18" t="s">
        <v>183</v>
      </c>
      <c r="G19" s="18" t="s">
        <v>184</v>
      </c>
      <c r="H19" s="18"/>
      <c r="I19" s="18" t="s">
        <v>185</v>
      </c>
      <c r="J19" s="18" t="s">
        <v>53</v>
      </c>
      <c r="K19" s="18" t="s">
        <v>186</v>
      </c>
    </row>
    <row r="20" customFormat="false" ht="94.5" hidden="false" customHeight="true" outlineLevel="0" collapsed="false">
      <c r="A20" s="18" t="n">
        <v>19</v>
      </c>
      <c r="B20" s="21" t="s">
        <v>11</v>
      </c>
      <c r="C20" s="18" t="s">
        <v>187</v>
      </c>
      <c r="D20" s="18" t="s">
        <v>188</v>
      </c>
      <c r="E20" s="18" t="s">
        <v>189</v>
      </c>
      <c r="F20" s="18" t="s">
        <v>190</v>
      </c>
      <c r="G20" s="18" t="s">
        <v>191</v>
      </c>
      <c r="H20" s="18"/>
      <c r="I20" s="18" t="s">
        <v>192</v>
      </c>
      <c r="J20" s="18" t="s">
        <v>53</v>
      </c>
      <c r="K20" s="18" t="s">
        <v>193</v>
      </c>
    </row>
    <row r="21" customFormat="false" ht="94.5" hidden="false" customHeight="true" outlineLevel="0" collapsed="false">
      <c r="A21" s="18" t="n">
        <v>20</v>
      </c>
      <c r="B21" s="21" t="s">
        <v>11</v>
      </c>
      <c r="C21" s="18" t="s">
        <v>194</v>
      </c>
      <c r="D21" s="18" t="s">
        <v>195</v>
      </c>
      <c r="E21" s="18" t="s">
        <v>196</v>
      </c>
      <c r="F21" s="18" t="s">
        <v>197</v>
      </c>
      <c r="G21" s="18" t="s">
        <v>198</v>
      </c>
      <c r="H21" s="18"/>
      <c r="I21" s="18" t="s">
        <v>199</v>
      </c>
      <c r="J21" s="18" t="s">
        <v>53</v>
      </c>
      <c r="K21" s="18" t="s">
        <v>200</v>
      </c>
    </row>
    <row r="22" customFormat="false" ht="94.5" hidden="false" customHeight="true" outlineLevel="0" collapsed="false">
      <c r="A22" s="18" t="n">
        <v>21</v>
      </c>
      <c r="B22" s="21" t="s">
        <v>11</v>
      </c>
      <c r="C22" s="18" t="s">
        <v>201</v>
      </c>
      <c r="D22" s="18" t="s">
        <v>202</v>
      </c>
      <c r="E22" s="18" t="s">
        <v>203</v>
      </c>
      <c r="F22" s="18" t="s">
        <v>204</v>
      </c>
      <c r="G22" s="18" t="s">
        <v>205</v>
      </c>
      <c r="H22" s="18" t="s">
        <v>206</v>
      </c>
      <c r="I22" s="18" t="s">
        <v>207</v>
      </c>
      <c r="J22" s="18" t="s">
        <v>53</v>
      </c>
      <c r="K22" s="18" t="s">
        <v>208</v>
      </c>
    </row>
    <row r="23" customFormat="false" ht="94.5" hidden="false" customHeight="true" outlineLevel="0" collapsed="false">
      <c r="A23" s="18" t="n">
        <v>22</v>
      </c>
      <c r="B23" s="21" t="s">
        <v>11</v>
      </c>
      <c r="C23" s="18" t="s">
        <v>209</v>
      </c>
      <c r="D23" s="18" t="s">
        <v>210</v>
      </c>
      <c r="E23" s="18" t="s">
        <v>211</v>
      </c>
      <c r="F23" s="18" t="s">
        <v>212</v>
      </c>
      <c r="G23" s="18" t="s">
        <v>213</v>
      </c>
      <c r="H23" s="18"/>
      <c r="I23" s="18" t="s">
        <v>214</v>
      </c>
      <c r="J23" s="18" t="s">
        <v>178</v>
      </c>
      <c r="K23" s="18" t="s">
        <v>215</v>
      </c>
    </row>
    <row r="24" customFormat="false" ht="94.5" hidden="false" customHeight="true" outlineLevel="0" collapsed="false">
      <c r="A24" s="18" t="n">
        <v>23</v>
      </c>
      <c r="B24" s="21" t="s">
        <v>11</v>
      </c>
      <c r="C24" s="18" t="s">
        <v>216</v>
      </c>
      <c r="D24" s="18" t="s">
        <v>217</v>
      </c>
      <c r="E24" s="18" t="s">
        <v>218</v>
      </c>
      <c r="F24" s="18" t="s">
        <v>219</v>
      </c>
      <c r="G24" s="18" t="s">
        <v>220</v>
      </c>
      <c r="H24" s="18" t="s">
        <v>221</v>
      </c>
      <c r="I24" s="18" t="s">
        <v>222</v>
      </c>
      <c r="J24" s="18" t="s">
        <v>53</v>
      </c>
      <c r="K24" s="18" t="s">
        <v>223</v>
      </c>
    </row>
    <row r="25" customFormat="false" ht="94.5" hidden="false" customHeight="true" outlineLevel="0" collapsed="false">
      <c r="A25" s="18" t="n">
        <v>24</v>
      </c>
      <c r="B25" s="21" t="s">
        <v>11</v>
      </c>
      <c r="C25" s="18" t="s">
        <v>224</v>
      </c>
      <c r="D25" s="18" t="s">
        <v>225</v>
      </c>
      <c r="E25" s="18" t="s">
        <v>226</v>
      </c>
      <c r="F25" s="18" t="s">
        <v>227</v>
      </c>
      <c r="G25" s="18" t="s">
        <v>228</v>
      </c>
      <c r="H25" s="18"/>
      <c r="I25" s="18" t="s">
        <v>229</v>
      </c>
      <c r="J25" s="18" t="s">
        <v>53</v>
      </c>
      <c r="K25" s="18" t="s">
        <v>230</v>
      </c>
    </row>
    <row r="26" customFormat="false" ht="94.5" hidden="false" customHeight="true" outlineLevel="0" collapsed="false">
      <c r="A26" s="18" t="n">
        <v>25</v>
      </c>
      <c r="B26" s="21" t="s">
        <v>11</v>
      </c>
      <c r="C26" s="18" t="s">
        <v>231</v>
      </c>
      <c r="D26" s="18" t="s">
        <v>232</v>
      </c>
      <c r="E26" s="18" t="s">
        <v>233</v>
      </c>
      <c r="F26" s="18" t="s">
        <v>234</v>
      </c>
      <c r="G26" s="18" t="s">
        <v>235</v>
      </c>
      <c r="H26" s="18"/>
      <c r="I26" s="18" t="s">
        <v>236</v>
      </c>
      <c r="J26" s="18" t="s">
        <v>53</v>
      </c>
      <c r="K26" s="18" t="s">
        <v>237</v>
      </c>
    </row>
    <row r="27" customFormat="false" ht="94.5" hidden="false" customHeight="true" outlineLevel="0" collapsed="false">
      <c r="A27" s="18" t="n">
        <v>26</v>
      </c>
      <c r="B27" s="21" t="s">
        <v>11</v>
      </c>
      <c r="C27" s="18" t="s">
        <v>238</v>
      </c>
      <c r="D27" s="18" t="s">
        <v>239</v>
      </c>
      <c r="E27" s="18" t="s">
        <v>240</v>
      </c>
      <c r="F27" s="18" t="s">
        <v>241</v>
      </c>
      <c r="G27" s="18" t="s">
        <v>242</v>
      </c>
      <c r="H27" s="18"/>
      <c r="I27" s="18" t="s">
        <v>243</v>
      </c>
      <c r="J27" s="18" t="s">
        <v>53</v>
      </c>
      <c r="K27" s="18" t="s">
        <v>244</v>
      </c>
    </row>
    <row r="28" customFormat="false" ht="150" hidden="false" customHeight="true" outlineLevel="0" collapsed="false">
      <c r="A28" s="18" t="n">
        <v>27</v>
      </c>
      <c r="B28" s="19" t="s">
        <v>9</v>
      </c>
      <c r="C28" s="18" t="s">
        <v>245</v>
      </c>
      <c r="D28" s="18" t="s">
        <v>246</v>
      </c>
      <c r="E28" s="18" t="s">
        <v>247</v>
      </c>
      <c r="F28" s="18" t="s">
        <v>248</v>
      </c>
      <c r="G28" s="18" t="s">
        <v>249</v>
      </c>
      <c r="H28" s="18" t="s">
        <v>250</v>
      </c>
      <c r="I28" s="18" t="s">
        <v>251</v>
      </c>
      <c r="J28" s="18" t="s">
        <v>252</v>
      </c>
      <c r="K28" s="18" t="s">
        <v>253</v>
      </c>
    </row>
    <row r="29" customFormat="false" ht="94.5" hidden="false" customHeight="true" outlineLevel="0" collapsed="false">
      <c r="A29" s="18" t="n">
        <v>28</v>
      </c>
      <c r="B29" s="21" t="s">
        <v>11</v>
      </c>
      <c r="C29" s="18" t="s">
        <v>254</v>
      </c>
      <c r="D29" s="18" t="s">
        <v>255</v>
      </c>
      <c r="E29" s="18" t="s">
        <v>256</v>
      </c>
      <c r="F29" s="18" t="s">
        <v>257</v>
      </c>
      <c r="G29" s="18" t="s">
        <v>258</v>
      </c>
      <c r="H29" s="18" t="s">
        <v>259</v>
      </c>
      <c r="I29" s="18" t="s">
        <v>260</v>
      </c>
      <c r="J29" s="18" t="s">
        <v>6</v>
      </c>
      <c r="K29" s="18" t="s">
        <v>261</v>
      </c>
    </row>
  </sheetData>
  <autoFilter ref="A1:K29"/>
  <conditionalFormatting sqref="A2:K29">
    <cfRule type="expression" priority="2" aboveAverage="0" equalAverage="0" bottom="0" percent="0" rank="0" text="" dxfId="7">
      <formula>$J2="Fixed"</formula>
    </cfRule>
  </conditionalFormatting>
  <dataValidations count="1">
    <dataValidation allowBlank="false" errorStyle="stop" operator="between" showDropDown="false" showErrorMessage="false" showInputMessage="false" sqref="J2:J29" type="list">
      <formula1>"Open,Fixed,Partly fixed,Fixed in prototype,Won't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46"/>
    <col collapsed="false" customWidth="true" hidden="false" outlineLevel="0" max="5" min="4" style="0" width="16"/>
    <col collapsed="false" customWidth="true" hidden="false" outlineLevel="0" max="6" min="6" style="0" width="80"/>
  </cols>
  <sheetData>
    <row r="1" customFormat="false" ht="15" hidden="false" customHeight="false" outlineLevel="0" collapsed="false">
      <c r="A1" s="5" t="s">
        <v>262</v>
      </c>
      <c r="B1" s="5" t="s">
        <v>263</v>
      </c>
      <c r="C1" s="5" t="s">
        <v>264</v>
      </c>
      <c r="D1" s="5" t="s">
        <v>265</v>
      </c>
      <c r="E1" s="5" t="s">
        <v>13</v>
      </c>
      <c r="F1" s="5" t="s">
        <v>266</v>
      </c>
    </row>
    <row r="2" customFormat="false" ht="45" hidden="false" customHeight="true" outlineLevel="0" collapsed="false">
      <c r="A2" s="22" t="s">
        <v>267</v>
      </c>
      <c r="B2" s="18" t="s">
        <v>268</v>
      </c>
      <c r="C2" s="18" t="s">
        <v>269</v>
      </c>
      <c r="D2" s="23" t="s">
        <v>15</v>
      </c>
      <c r="E2" s="23" t="s">
        <v>15</v>
      </c>
      <c r="F2" s="18" t="s">
        <v>270</v>
      </c>
    </row>
    <row r="3" customFormat="false" ht="45" hidden="false" customHeight="true" outlineLevel="0" collapsed="false">
      <c r="A3" s="22" t="s">
        <v>271</v>
      </c>
      <c r="B3" s="18" t="s">
        <v>268</v>
      </c>
      <c r="C3" s="18" t="s">
        <v>272</v>
      </c>
      <c r="D3" s="24" t="s">
        <v>17</v>
      </c>
      <c r="E3" s="23" t="s">
        <v>15</v>
      </c>
      <c r="F3" s="18" t="s">
        <v>273</v>
      </c>
    </row>
    <row r="4" customFormat="false" ht="45" hidden="false" customHeight="true" outlineLevel="0" collapsed="false">
      <c r="A4" s="22" t="s">
        <v>274</v>
      </c>
      <c r="B4" s="18" t="s">
        <v>268</v>
      </c>
      <c r="C4" s="18" t="s">
        <v>275</v>
      </c>
      <c r="D4" s="24" t="s">
        <v>17</v>
      </c>
      <c r="E4" s="23" t="s">
        <v>15</v>
      </c>
      <c r="F4" s="18" t="s">
        <v>276</v>
      </c>
    </row>
    <row r="5" customFormat="false" ht="45" hidden="false" customHeight="true" outlineLevel="0" collapsed="false">
      <c r="A5" s="22" t="s">
        <v>277</v>
      </c>
      <c r="B5" s="18" t="s">
        <v>278</v>
      </c>
      <c r="C5" s="18" t="s">
        <v>279</v>
      </c>
      <c r="D5" s="23" t="s">
        <v>15</v>
      </c>
      <c r="E5" s="23" t="s">
        <v>15</v>
      </c>
      <c r="F5" s="18" t="s">
        <v>280</v>
      </c>
    </row>
    <row r="6" customFormat="false" ht="45" hidden="false" customHeight="true" outlineLevel="0" collapsed="false">
      <c r="A6" s="22" t="s">
        <v>281</v>
      </c>
      <c r="B6" s="18" t="s">
        <v>282</v>
      </c>
      <c r="C6" s="18" t="s">
        <v>283</v>
      </c>
      <c r="D6" s="25" t="s">
        <v>16</v>
      </c>
      <c r="E6" s="23" t="s">
        <v>15</v>
      </c>
      <c r="F6" s="18" t="s">
        <v>284</v>
      </c>
    </row>
    <row r="7" customFormat="false" ht="45" hidden="false" customHeight="true" outlineLevel="0" collapsed="false">
      <c r="A7" s="22" t="s">
        <v>285</v>
      </c>
      <c r="B7" s="18" t="s">
        <v>286</v>
      </c>
      <c r="C7" s="18" t="s">
        <v>287</v>
      </c>
      <c r="D7" s="25" t="s">
        <v>16</v>
      </c>
      <c r="E7" s="23" t="s">
        <v>15</v>
      </c>
      <c r="F7" s="18" t="s">
        <v>288</v>
      </c>
    </row>
    <row r="8" customFormat="false" ht="45" hidden="false" customHeight="true" outlineLevel="0" collapsed="false">
      <c r="A8" s="22" t="s">
        <v>289</v>
      </c>
      <c r="B8" s="18" t="s">
        <v>286</v>
      </c>
      <c r="C8" s="18" t="s">
        <v>290</v>
      </c>
      <c r="D8" s="25" t="s">
        <v>16</v>
      </c>
      <c r="E8" s="23" t="s">
        <v>15</v>
      </c>
      <c r="F8" s="18" t="s">
        <v>291</v>
      </c>
    </row>
    <row r="9" customFormat="false" ht="45" hidden="false" customHeight="true" outlineLevel="0" collapsed="false">
      <c r="A9" s="22" t="s">
        <v>292</v>
      </c>
      <c r="B9" s="18" t="s">
        <v>293</v>
      </c>
      <c r="C9" s="18" t="s">
        <v>294</v>
      </c>
      <c r="D9" s="23" t="s">
        <v>15</v>
      </c>
      <c r="E9" s="23" t="s">
        <v>15</v>
      </c>
      <c r="F9" s="18" t="s">
        <v>295</v>
      </c>
    </row>
    <row r="10" customFormat="false" ht="45" hidden="false" customHeight="true" outlineLevel="0" collapsed="false">
      <c r="A10" s="22" t="s">
        <v>296</v>
      </c>
      <c r="B10" s="18" t="s">
        <v>293</v>
      </c>
      <c r="C10" s="18" t="s">
        <v>297</v>
      </c>
      <c r="D10" s="23" t="s">
        <v>15</v>
      </c>
      <c r="E10" s="23" t="s">
        <v>15</v>
      </c>
      <c r="F10" s="18" t="s">
        <v>298</v>
      </c>
    </row>
    <row r="11" customFormat="false" ht="45" hidden="false" customHeight="true" outlineLevel="0" collapsed="false">
      <c r="A11" s="22" t="s">
        <v>299</v>
      </c>
      <c r="B11" s="18" t="s">
        <v>300</v>
      </c>
      <c r="C11" s="18" t="s">
        <v>301</v>
      </c>
      <c r="D11" s="23" t="s">
        <v>15</v>
      </c>
      <c r="E11" s="23" t="s">
        <v>15</v>
      </c>
      <c r="F11" s="18" t="s">
        <v>302</v>
      </c>
    </row>
    <row r="12" customFormat="false" ht="45" hidden="false" customHeight="true" outlineLevel="0" collapsed="false">
      <c r="A12" s="22" t="s">
        <v>303</v>
      </c>
      <c r="B12" s="18" t="s">
        <v>293</v>
      </c>
      <c r="C12" s="18" t="s">
        <v>304</v>
      </c>
      <c r="D12" s="26" t="s">
        <v>18</v>
      </c>
      <c r="E12" s="23" t="s">
        <v>15</v>
      </c>
      <c r="F12" s="18" t="s">
        <v>305</v>
      </c>
    </row>
    <row r="13" customFormat="false" ht="45" hidden="false" customHeight="true" outlineLevel="0" collapsed="false">
      <c r="A13" s="22" t="s">
        <v>306</v>
      </c>
      <c r="B13" s="18" t="s">
        <v>307</v>
      </c>
      <c r="C13" s="18" t="s">
        <v>308</v>
      </c>
      <c r="D13" s="23" t="s">
        <v>15</v>
      </c>
      <c r="E13" s="23" t="s">
        <v>15</v>
      </c>
      <c r="F13" s="18" t="s">
        <v>309</v>
      </c>
    </row>
    <row r="14" customFormat="false" ht="45" hidden="false" customHeight="true" outlineLevel="0" collapsed="false">
      <c r="A14" s="22" t="s">
        <v>310</v>
      </c>
      <c r="B14" s="18" t="s">
        <v>282</v>
      </c>
      <c r="C14" s="18" t="s">
        <v>311</v>
      </c>
      <c r="D14" s="23" t="s">
        <v>15</v>
      </c>
      <c r="E14" s="23" t="s">
        <v>15</v>
      </c>
      <c r="F14" s="18" t="s">
        <v>312</v>
      </c>
    </row>
    <row r="15" customFormat="false" ht="45" hidden="false" customHeight="true" outlineLevel="0" collapsed="false">
      <c r="A15" s="22" t="s">
        <v>313</v>
      </c>
      <c r="B15" s="18" t="s">
        <v>314</v>
      </c>
      <c r="C15" s="18" t="s">
        <v>315</v>
      </c>
      <c r="D15" s="25" t="s">
        <v>16</v>
      </c>
      <c r="E15" s="23" t="s">
        <v>15</v>
      </c>
      <c r="F15" s="18" t="s">
        <v>316</v>
      </c>
    </row>
    <row r="16" customFormat="false" ht="45" hidden="false" customHeight="true" outlineLevel="0" collapsed="false">
      <c r="A16" s="22" t="s">
        <v>317</v>
      </c>
      <c r="B16" s="18" t="s">
        <v>314</v>
      </c>
      <c r="C16" s="18" t="s">
        <v>318</v>
      </c>
      <c r="D16" s="23" t="s">
        <v>15</v>
      </c>
      <c r="E16" s="23" t="s">
        <v>15</v>
      </c>
      <c r="F16" s="18" t="s">
        <v>319</v>
      </c>
    </row>
    <row r="17" customFormat="false" ht="45" hidden="false" customHeight="true" outlineLevel="0" collapsed="false">
      <c r="A17" s="22" t="s">
        <v>320</v>
      </c>
      <c r="B17" s="18" t="s">
        <v>321</v>
      </c>
      <c r="C17" s="18" t="s">
        <v>322</v>
      </c>
      <c r="D17" s="25" t="s">
        <v>16</v>
      </c>
      <c r="E17" s="23" t="s">
        <v>15</v>
      </c>
      <c r="F17" s="18" t="s">
        <v>323</v>
      </c>
    </row>
    <row r="18" customFormat="false" ht="45" hidden="false" customHeight="true" outlineLevel="0" collapsed="false">
      <c r="A18" s="22" t="s">
        <v>324</v>
      </c>
      <c r="B18" s="18" t="s">
        <v>325</v>
      </c>
      <c r="C18" s="18" t="s">
        <v>326</v>
      </c>
      <c r="D18" s="23" t="s">
        <v>15</v>
      </c>
      <c r="E18" s="23" t="s">
        <v>15</v>
      </c>
      <c r="F18" s="18" t="s">
        <v>327</v>
      </c>
    </row>
    <row r="19" customFormat="false" ht="45" hidden="false" customHeight="true" outlineLevel="0" collapsed="false">
      <c r="A19" s="22" t="s">
        <v>328</v>
      </c>
      <c r="B19" s="18" t="s">
        <v>278</v>
      </c>
      <c r="C19" s="18" t="s">
        <v>329</v>
      </c>
      <c r="D19" s="23" t="s">
        <v>15</v>
      </c>
      <c r="E19" s="23" t="s">
        <v>15</v>
      </c>
      <c r="F19" s="18" t="s">
        <v>330</v>
      </c>
    </row>
    <row r="20" customFormat="false" ht="45" hidden="false" customHeight="true" outlineLevel="0" collapsed="false">
      <c r="A20" s="22" t="s">
        <v>331</v>
      </c>
      <c r="B20" s="18" t="s">
        <v>278</v>
      </c>
      <c r="C20" s="18" t="s">
        <v>332</v>
      </c>
      <c r="D20" s="25" t="s">
        <v>16</v>
      </c>
      <c r="E20" s="23" t="s">
        <v>15</v>
      </c>
      <c r="F20" s="18" t="s">
        <v>333</v>
      </c>
    </row>
    <row r="21" customFormat="false" ht="45" hidden="false" customHeight="true" outlineLevel="0" collapsed="false">
      <c r="A21" s="22" t="s">
        <v>334</v>
      </c>
      <c r="B21" s="18" t="s">
        <v>282</v>
      </c>
      <c r="C21" s="18" t="s">
        <v>335</v>
      </c>
      <c r="D21" s="23" t="s">
        <v>15</v>
      </c>
      <c r="E21" s="23" t="s">
        <v>15</v>
      </c>
      <c r="F21" s="18" t="s">
        <v>336</v>
      </c>
    </row>
    <row r="22" customFormat="false" ht="45" hidden="false" customHeight="true" outlineLevel="0" collapsed="false">
      <c r="A22" s="22" t="s">
        <v>337</v>
      </c>
      <c r="B22" s="18" t="s">
        <v>338</v>
      </c>
      <c r="C22" s="18" t="s">
        <v>339</v>
      </c>
      <c r="D22" s="23" t="s">
        <v>15</v>
      </c>
      <c r="E22" s="23" t="s">
        <v>15</v>
      </c>
      <c r="F22" s="18" t="s">
        <v>340</v>
      </c>
    </row>
    <row r="23" customFormat="false" ht="45" hidden="false" customHeight="true" outlineLevel="0" collapsed="false">
      <c r="A23" s="22" t="s">
        <v>341</v>
      </c>
      <c r="B23" s="18" t="s">
        <v>325</v>
      </c>
      <c r="C23" s="18" t="s">
        <v>342</v>
      </c>
      <c r="D23" s="23" t="s">
        <v>15</v>
      </c>
      <c r="E23" s="23" t="s">
        <v>15</v>
      </c>
      <c r="F23" s="18" t="s">
        <v>343</v>
      </c>
    </row>
    <row r="24" customFormat="false" ht="45" hidden="false" customHeight="true" outlineLevel="0" collapsed="false">
      <c r="A24" s="22" t="s">
        <v>344</v>
      </c>
      <c r="B24" s="18" t="s">
        <v>286</v>
      </c>
      <c r="C24" s="18" t="s">
        <v>345</v>
      </c>
      <c r="D24" s="26" t="s">
        <v>18</v>
      </c>
      <c r="E24" s="23" t="s">
        <v>15</v>
      </c>
      <c r="F24" s="18" t="s">
        <v>346</v>
      </c>
    </row>
    <row r="25" customFormat="false" ht="45" hidden="false" customHeight="true" outlineLevel="0" collapsed="false">
      <c r="A25" s="22" t="s">
        <v>347</v>
      </c>
      <c r="B25" s="18" t="s">
        <v>282</v>
      </c>
      <c r="C25" s="18" t="s">
        <v>348</v>
      </c>
      <c r="D25" s="23" t="s">
        <v>15</v>
      </c>
      <c r="E25" s="23" t="s">
        <v>15</v>
      </c>
      <c r="F25" s="18" t="s">
        <v>349</v>
      </c>
    </row>
    <row r="26" customFormat="false" ht="45" hidden="false" customHeight="true" outlineLevel="0" collapsed="false">
      <c r="A26" s="22" t="s">
        <v>350</v>
      </c>
      <c r="B26" s="18" t="s">
        <v>325</v>
      </c>
      <c r="C26" s="18" t="s">
        <v>351</v>
      </c>
      <c r="D26" s="23" t="s">
        <v>15</v>
      </c>
      <c r="E26" s="23" t="s">
        <v>15</v>
      </c>
      <c r="F26" s="18" t="s">
        <v>352</v>
      </c>
    </row>
    <row r="27" customFormat="false" ht="45" hidden="false" customHeight="true" outlineLevel="0" collapsed="false">
      <c r="A27" s="22" t="s">
        <v>353</v>
      </c>
      <c r="B27" s="18" t="s">
        <v>354</v>
      </c>
      <c r="C27" s="18" t="s">
        <v>355</v>
      </c>
      <c r="D27" s="25" t="s">
        <v>16</v>
      </c>
      <c r="E27" s="23" t="s">
        <v>15</v>
      </c>
      <c r="F27" s="18" t="s">
        <v>356</v>
      </c>
    </row>
    <row r="28" customFormat="false" ht="45" hidden="false" customHeight="true" outlineLevel="0" collapsed="false">
      <c r="A28" s="22" t="s">
        <v>357</v>
      </c>
      <c r="B28" s="18" t="s">
        <v>354</v>
      </c>
      <c r="C28" s="18" t="s">
        <v>358</v>
      </c>
      <c r="D28" s="23" t="s">
        <v>15</v>
      </c>
      <c r="E28" s="23" t="s">
        <v>15</v>
      </c>
      <c r="F28" s="18" t="s">
        <v>359</v>
      </c>
    </row>
    <row r="29" customFormat="false" ht="45" hidden="false" customHeight="true" outlineLevel="0" collapsed="false">
      <c r="A29" s="22" t="s">
        <v>360</v>
      </c>
      <c r="B29" s="18" t="s">
        <v>354</v>
      </c>
      <c r="C29" s="18" t="s">
        <v>361</v>
      </c>
      <c r="D29" s="23" t="s">
        <v>15</v>
      </c>
      <c r="E29" s="23" t="s">
        <v>15</v>
      </c>
      <c r="F29" s="18" t="s">
        <v>362</v>
      </c>
    </row>
    <row r="30" customFormat="false" ht="45" hidden="false" customHeight="true" outlineLevel="0" collapsed="false">
      <c r="A30" s="22" t="s">
        <v>363</v>
      </c>
      <c r="B30" s="18" t="s">
        <v>354</v>
      </c>
      <c r="C30" s="18" t="s">
        <v>364</v>
      </c>
      <c r="D30" s="25" t="s">
        <v>16</v>
      </c>
      <c r="E30" s="23" t="s">
        <v>15</v>
      </c>
      <c r="F30" s="18" t="s">
        <v>365</v>
      </c>
    </row>
    <row r="31" customFormat="false" ht="45" hidden="false" customHeight="true" outlineLevel="0" collapsed="false">
      <c r="A31" s="22" t="s">
        <v>366</v>
      </c>
      <c r="B31" s="18" t="s">
        <v>367</v>
      </c>
      <c r="C31" s="18" t="s">
        <v>368</v>
      </c>
      <c r="D31" s="25" t="s">
        <v>16</v>
      </c>
      <c r="E31" s="23" t="s">
        <v>15</v>
      </c>
      <c r="F31" s="18" t="s">
        <v>369</v>
      </c>
    </row>
    <row r="32" customFormat="false" ht="45" hidden="false" customHeight="true" outlineLevel="0" collapsed="false">
      <c r="A32" s="22" t="s">
        <v>370</v>
      </c>
      <c r="B32" s="18" t="s">
        <v>367</v>
      </c>
      <c r="C32" s="18" t="s">
        <v>371</v>
      </c>
      <c r="D32" s="24" t="s">
        <v>17</v>
      </c>
      <c r="E32" s="23" t="s">
        <v>15</v>
      </c>
      <c r="F32" s="18" t="s">
        <v>372</v>
      </c>
    </row>
    <row r="33" customFormat="false" ht="45" hidden="false" customHeight="true" outlineLevel="0" collapsed="false">
      <c r="A33" s="22" t="s">
        <v>373</v>
      </c>
      <c r="B33" s="18" t="s">
        <v>367</v>
      </c>
      <c r="C33" s="18" t="s">
        <v>374</v>
      </c>
      <c r="D33" s="23" t="s">
        <v>15</v>
      </c>
      <c r="E33" s="23" t="s">
        <v>15</v>
      </c>
      <c r="F33" s="18" t="s">
        <v>375</v>
      </c>
    </row>
    <row r="34" customFormat="false" ht="45" hidden="false" customHeight="true" outlineLevel="0" collapsed="false">
      <c r="A34" s="22" t="s">
        <v>376</v>
      </c>
      <c r="B34" s="18" t="s">
        <v>367</v>
      </c>
      <c r="C34" s="18" t="s">
        <v>377</v>
      </c>
      <c r="D34" s="23" t="s">
        <v>15</v>
      </c>
      <c r="E34" s="23" t="s">
        <v>15</v>
      </c>
      <c r="F34" s="18" t="s">
        <v>378</v>
      </c>
    </row>
    <row r="35" customFormat="false" ht="45" hidden="false" customHeight="true" outlineLevel="0" collapsed="false">
      <c r="A35" s="22" t="s">
        <v>379</v>
      </c>
      <c r="B35" s="18" t="s">
        <v>367</v>
      </c>
      <c r="C35" s="18" t="s">
        <v>380</v>
      </c>
      <c r="D35" s="23" t="s">
        <v>15</v>
      </c>
      <c r="E35" s="23" t="s">
        <v>15</v>
      </c>
      <c r="F35" s="18" t="s">
        <v>381</v>
      </c>
    </row>
    <row r="36" customFormat="false" ht="45" hidden="false" customHeight="true" outlineLevel="0" collapsed="false">
      <c r="A36" s="22" t="s">
        <v>382</v>
      </c>
      <c r="B36" s="18" t="s">
        <v>367</v>
      </c>
      <c r="C36" s="18" t="s">
        <v>383</v>
      </c>
      <c r="D36" s="23" t="s">
        <v>15</v>
      </c>
      <c r="E36" s="23" t="s">
        <v>15</v>
      </c>
      <c r="F36" s="18" t="s">
        <v>384</v>
      </c>
    </row>
    <row r="37" customFormat="false" ht="45" hidden="false" customHeight="true" outlineLevel="0" collapsed="false">
      <c r="A37" s="22" t="s">
        <v>385</v>
      </c>
      <c r="B37" s="18" t="s">
        <v>282</v>
      </c>
      <c r="C37" s="18" t="s">
        <v>386</v>
      </c>
      <c r="D37" s="23" t="s">
        <v>15</v>
      </c>
      <c r="E37" s="23" t="s">
        <v>15</v>
      </c>
      <c r="F37" s="18" t="s">
        <v>387</v>
      </c>
    </row>
    <row r="38" customFormat="false" ht="45" hidden="false" customHeight="true" outlineLevel="0" collapsed="false">
      <c r="A38" s="22" t="s">
        <v>388</v>
      </c>
      <c r="B38" s="18" t="s">
        <v>389</v>
      </c>
      <c r="C38" s="18" t="s">
        <v>390</v>
      </c>
      <c r="D38" s="25" t="s">
        <v>16</v>
      </c>
      <c r="E38" s="23" t="s">
        <v>15</v>
      </c>
      <c r="F38" s="18" t="s">
        <v>391</v>
      </c>
    </row>
    <row r="39" customFormat="false" ht="45" hidden="false" customHeight="true" outlineLevel="0" collapsed="false">
      <c r="A39" s="22" t="s">
        <v>392</v>
      </c>
      <c r="B39" s="18" t="s">
        <v>393</v>
      </c>
      <c r="C39" s="18" t="s">
        <v>394</v>
      </c>
      <c r="D39" s="25" t="s">
        <v>16</v>
      </c>
      <c r="E39" s="23" t="s">
        <v>15</v>
      </c>
      <c r="F39" s="18" t="s">
        <v>395</v>
      </c>
    </row>
    <row r="40" customFormat="false" ht="45" hidden="false" customHeight="true" outlineLevel="0" collapsed="false">
      <c r="A40" s="22" t="s">
        <v>396</v>
      </c>
      <c r="B40" s="18" t="s">
        <v>397</v>
      </c>
      <c r="C40" s="18" t="s">
        <v>398</v>
      </c>
      <c r="D40" s="23" t="s">
        <v>15</v>
      </c>
      <c r="E40" s="23" t="s">
        <v>15</v>
      </c>
      <c r="F40" s="18"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2026-09-30T21:43:27Z</dcterms:created>
  <dc:creator>openpyxl</dc:creator>
  <dc:description/>
  <dc:language>en-US</dc:language>
  <cp:lastModifiedBy/>
  <dcterms:modified xsi:type="dcterms:W3CDTF">2026-09-30T21:43:27Z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